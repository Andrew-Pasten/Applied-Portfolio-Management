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07fe6b7538511e/0 MSFA/CURRENT DELIVERABLES - 5 Oct 2026/"/>
    </mc:Choice>
  </mc:AlternateContent>
  <xr:revisionPtr revIDLastSave="4" documentId="11_E1D0BB1F896A6A13E6CFCEBA165B5041F8734A5C" xr6:coauthVersionLast="47" xr6:coauthVersionMax="47" xr10:uidLastSave="{2BD3CECF-B77E-4DAB-AA7F-5A10CE231DD5}"/>
  <bookViews>
    <workbookView xWindow="-110" yWindow="-110" windowWidth="25820" windowHeight="16220" tabRatio="839" xr2:uid="{00000000-000D-0000-FFFF-FFFF00000000}"/>
  </bookViews>
  <sheets>
    <sheet name="Target Allocation $1M" sheetId="1" r:id="rId1"/>
    <sheet name="US Sector Allocation" sheetId="2" r:id="rId2"/>
    <sheet name="Model Linkage" sheetId="3" r:id="rId3"/>
    <sheet name="Port Comparisons" sheetId="4" r:id="rId4"/>
    <sheet name="Screener Criteria" sheetId="5" r:id="rId5"/>
    <sheet name="Sector ETF Selection" sheetId="6" r:id="rId6"/>
    <sheet name="Expected Returns CMO" sheetId="7" r:id="rId7"/>
    <sheet name="Optimizer (Expected)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8" l="1" a="1"/>
  <c r="G33" i="8" s="1"/>
  <c r="F33" i="8" a="1"/>
  <c r="F33" i="8" s="1"/>
  <c r="E33" i="8" a="1"/>
  <c r="E33" i="8" s="1"/>
  <c r="D33" i="8" a="1"/>
  <c r="D33" i="8" s="1"/>
  <c r="C33" i="8" a="1"/>
  <c r="C33" i="8" s="1"/>
  <c r="G32" i="8" a="1"/>
  <c r="G32" i="8" s="1"/>
  <c r="F32" i="8" a="1"/>
  <c r="F32" i="8" s="1"/>
  <c r="E32" i="8" a="1"/>
  <c r="E32" i="8" s="1"/>
  <c r="D32" i="8" a="1"/>
  <c r="D32" i="8" s="1"/>
  <c r="C32" i="8" a="1"/>
  <c r="C32" i="8" s="1"/>
  <c r="G31" i="8" a="1"/>
  <c r="G31" i="8" s="1"/>
  <c r="F31" i="8" a="1"/>
  <c r="F31" i="8" s="1"/>
  <c r="E31" i="8" a="1"/>
  <c r="E31" i="8" s="1"/>
  <c r="D31" i="8" a="1"/>
  <c r="D31" i="8" s="1"/>
  <c r="C31" i="8" a="1"/>
  <c r="C31" i="8" s="1"/>
  <c r="G30" i="8" a="1"/>
  <c r="G30" i="8" s="1"/>
  <c r="F30" i="8" a="1"/>
  <c r="F30" i="8" s="1"/>
  <c r="E30" i="8" a="1"/>
  <c r="E30" i="8" s="1"/>
  <c r="D30" i="8" a="1"/>
  <c r="D30" i="8" s="1"/>
  <c r="C30" i="8" a="1"/>
  <c r="C30" i="8" s="1"/>
  <c r="G29" i="8" a="1"/>
  <c r="G29" i="8" s="1"/>
  <c r="G37" i="8" s="1"/>
  <c r="F29" i="8" a="1"/>
  <c r="F29" i="8" s="1"/>
  <c r="F37" i="8" s="1"/>
  <c r="E29" i="8" a="1"/>
  <c r="E29" i="8" s="1"/>
  <c r="E37" i="8" s="1"/>
  <c r="D29" i="8" a="1"/>
  <c r="D29" i="8" s="1"/>
  <c r="D37" i="8" s="1"/>
  <c r="C29" i="8" a="1"/>
  <c r="C29" i="8" s="1"/>
  <c r="C37" i="8" s="1"/>
  <c r="G26" i="8"/>
  <c r="F26" i="8"/>
  <c r="E26" i="8"/>
  <c r="D26" i="8"/>
  <c r="C26" i="8"/>
  <c r="B8" i="8"/>
  <c r="C8" i="8" s="1"/>
  <c r="B7" i="8"/>
  <c r="C7" i="8" s="1"/>
  <c r="B6" i="8"/>
  <c r="C6" i="8" s="1"/>
  <c r="E10" i="7"/>
  <c r="B9" i="8" s="1"/>
  <c r="C9" i="8" s="1"/>
  <c r="E9" i="7"/>
  <c r="E8" i="7"/>
  <c r="E7" i="7"/>
  <c r="E6" i="7"/>
  <c r="G17" i="4"/>
  <c r="J16" i="4"/>
  <c r="J17" i="4" s="1"/>
  <c r="G16" i="4"/>
  <c r="J15" i="4"/>
  <c r="G15" i="4"/>
  <c r="C14" i="4"/>
  <c r="J13" i="4"/>
  <c r="G11" i="4"/>
  <c r="C9" i="4"/>
  <c r="J6" i="4"/>
  <c r="G6" i="4"/>
  <c r="C5" i="4"/>
  <c r="B10" i="3"/>
  <c r="C5" i="7" s="1"/>
  <c r="E5" i="7" s="1"/>
  <c r="D18" i="2"/>
  <c r="C18" i="2"/>
  <c r="E17" i="2"/>
  <c r="E16" i="2"/>
  <c r="E15" i="2"/>
  <c r="E14" i="2"/>
  <c r="E13" i="2"/>
  <c r="E12" i="2"/>
  <c r="E11" i="2"/>
  <c r="E10" i="2"/>
  <c r="E9" i="2"/>
  <c r="E18" i="2" s="1"/>
  <c r="E8" i="2"/>
  <c r="E7" i="2"/>
  <c r="G23" i="1"/>
  <c r="F23" i="1"/>
  <c r="E23" i="1"/>
  <c r="C23" i="1"/>
  <c r="B10" i="1"/>
  <c r="E9" i="1"/>
  <c r="C9" i="1"/>
  <c r="E8" i="1"/>
  <c r="C8" i="1"/>
  <c r="E7" i="1"/>
  <c r="C7" i="1"/>
  <c r="E6" i="1"/>
  <c r="C6" i="1"/>
  <c r="C10" i="4" l="1"/>
  <c r="C16" i="4"/>
  <c r="J18" i="4" s="1"/>
  <c r="E14" i="7"/>
  <c r="E15" i="7"/>
  <c r="B5" i="8"/>
  <c r="C5" i="8" s="1"/>
  <c r="D19" i="1"/>
  <c r="D20" i="1"/>
  <c r="D21" i="1"/>
  <c r="D22" i="1"/>
  <c r="C14" i="1"/>
  <c r="B4" i="2" s="1"/>
  <c r="C15" i="1"/>
  <c r="C16" i="1"/>
  <c r="C35" i="8" l="1"/>
  <c r="C36" i="8" s="1"/>
  <c r="C38" i="8" s="1"/>
  <c r="D35" i="8"/>
  <c r="D36" i="8" s="1"/>
  <c r="D38" i="8" s="1"/>
  <c r="E35" i="8"/>
  <c r="E36" i="8" s="1"/>
  <c r="E38" i="8" s="1"/>
  <c r="F35" i="8"/>
  <c r="F36" i="8" s="1"/>
  <c r="F38" i="8" s="1"/>
  <c r="G35" i="8"/>
  <c r="G36" i="8" s="1"/>
  <c r="G38" i="8" s="1"/>
  <c r="F7" i="2"/>
  <c r="F8" i="2"/>
  <c r="F9" i="2"/>
  <c r="F10" i="2"/>
  <c r="F11" i="2"/>
  <c r="F12" i="2"/>
  <c r="F13" i="2"/>
  <c r="F14" i="2"/>
  <c r="F15" i="2"/>
  <c r="F16" i="2"/>
  <c r="F17" i="2"/>
  <c r="E16" i="7"/>
  <c r="D23" i="1"/>
  <c r="F18" i="2" l="1"/>
</calcChain>
</file>

<file path=xl/sharedStrings.xml><?xml version="1.0" encoding="utf-8"?>
<sst xmlns="http://schemas.openxmlformats.org/spreadsheetml/2006/main" count="340" uniqueCount="282">
  <si>
    <t>ACCM Target Portfolio Allocation — $1,000,000 (Inception 6/1/2026)</t>
  </si>
  <si>
    <t>Working version. Higher-for-longer outlook; slightly aggressive posture. Gold considered and rejected (record price ~$4,110, zero yield vs 3.7% bills, high opportunity cost under strong nominal growth).</t>
  </si>
  <si>
    <t>Strategic Asset Allocation</t>
  </si>
  <si>
    <t>Sleeve</t>
  </si>
  <si>
    <t>Weight</t>
  </si>
  <si>
    <t>$ Amount</t>
  </si>
  <si>
    <t>Policy Range</t>
  </si>
  <si>
    <t>Within Policy?</t>
  </si>
  <si>
    <t>Equities (11 sector ETFs + JPM, JPM ≤ 5%)</t>
  </si>
  <si>
    <t>60–80%</t>
  </si>
  <si>
    <t>Fixed Income</t>
  </si>
  <si>
    <t>20–40%</t>
  </si>
  <si>
    <t>Cash &amp; Equivalents (BIL)</t>
  </si>
  <si>
    <t>0–20%</t>
  </si>
  <si>
    <t>Gold ETF — not used</t>
  </si>
  <si>
    <t>0–5%</t>
  </si>
  <si>
    <t>Total</t>
  </si>
  <si>
    <t>Portfolio value ($)</t>
  </si>
  <si>
    <t>Equity Sleeve Split (foreign = 28% of equity sleeve; policy max 50%)</t>
  </si>
  <si>
    <t>Segment</t>
  </si>
  <si>
    <t>% of Equity</t>
  </si>
  <si>
    <t>U.S. Equities — 11 sector ETFs + JPM (see US Sector Allocation sheet)</t>
  </si>
  <si>
    <t>International — Emerging Markets: IEMG (MSCI EM: China, India, Korea, Taiwan)</t>
  </si>
  <si>
    <t>International — Developed Markets: IEFA (MSCI EAFE)</t>
  </si>
  <si>
    <t>Fixed Income Sleeve — Active for credit/MBS, passive for Treasuries</t>
  </si>
  <si>
    <t>Holding</t>
  </si>
  <si>
    <t>Mgmt</t>
  </si>
  <si>
    <t>% of FI</t>
  </si>
  <si>
    <t>Yield (SEC/YTW)</t>
  </si>
  <si>
    <t>Eff. Duration</t>
  </si>
  <si>
    <t>Expense</t>
  </si>
  <si>
    <t>AUM ($B)</t>
  </si>
  <si>
    <t>SPTI — SPDR Interm. Treasury</t>
  </si>
  <si>
    <t>Passive</t>
  </si>
  <si>
    <t>FBND — Fidelity Total Bond (IG core-plus)</t>
  </si>
  <si>
    <t>Active</t>
  </si>
  <si>
    <t>HYG — iShares High Yield</t>
  </si>
  <si>
    <t>Passive*</t>
  </si>
  <si>
    <t>JMBS — Janus Active MBS</t>
  </si>
  <si>
    <t>FI Sleeve Total / Weighted Avg</t>
  </si>
  <si>
    <t>vs. Bloomberg U.S. Aggregate benchmark: 4.77% YTM / 4.53% SEC yield, 5.81-yr duration (AGG ETF, ishares.com, 7/1/2026) — sleeve out-yields the benchmark on both bases with ~0.7 yrs less rate risk.</t>
  </si>
  <si>
    <t>*High yield kept passive: the active alternative (BRHY, iShares High Yield Active) has only ~$99M AUM and a June 2024 inception — fails ACCM AUM and track-record screens. SPTL excluded (14.2-yr duration vs. ACCM 4.9% 10Y forecast); CMBS excluded ($0.5B AUM, 0.29% bid/ask); PFF excluded (0.73 equity correlation, 0.45% fee).</t>
  </si>
  <si>
    <t>Sources: ssga.com, ishares.com, fidelity.com fund pages, June–July 2026. JMBS: janushenderson.com fund page — eff. duration 6.21, 30-day SEC yield 4.90% (5/31/26), 12-mo distribution yield 5.19% (7/1/26).</t>
  </si>
  <si>
    <t>U.S. Equity Sleeve — Sector Allocation vs. Russell 3000 (GICS)</t>
  </si>
  <si>
    <t>Benchmark: iShares Russell 3000 ETF (IWV) GICS sector weights as of 7/2/2026, ishares.com (screenshot on file); 11 sectors normalized to 100% (excludes 0.79% cash/other).</t>
  </si>
  <si>
    <t>U.S. Equity Sleeve ($)</t>
  </si>
  <si>
    <t>Sector</t>
  </si>
  <si>
    <t>ETF / Holding</t>
  </si>
  <si>
    <t>R3000 Wt (7/2/26)</t>
  </si>
  <si>
    <t>ACCM Wt</t>
  </si>
  <si>
    <t>Active Bet</t>
  </si>
  <si>
    <t>Information Technology</t>
  </si>
  <si>
    <t>XLK</t>
  </si>
  <si>
    <t>Financials</t>
  </si>
  <si>
    <t>XLF + JPM (JPM = $50,000, 5% cap)</t>
  </si>
  <si>
    <t>Industrials</t>
  </si>
  <si>
    <t>XLI</t>
  </si>
  <si>
    <t>Health Care</t>
  </si>
  <si>
    <t>XLV</t>
  </si>
  <si>
    <t>Consumer Discretionary</t>
  </si>
  <si>
    <t>XLY</t>
  </si>
  <si>
    <t>Communication Services</t>
  </si>
  <si>
    <t>XLC</t>
  </si>
  <si>
    <t>Consumer Staples</t>
  </si>
  <si>
    <t>XLP</t>
  </si>
  <si>
    <t>Energy</t>
  </si>
  <si>
    <t>XLE</t>
  </si>
  <si>
    <t>Real Estate</t>
  </si>
  <si>
    <t>XLRE</t>
  </si>
  <si>
    <t>Materials</t>
  </si>
  <si>
    <t>XLB</t>
  </si>
  <si>
    <t>Utilities</t>
  </si>
  <si>
    <t>XLU</t>
  </si>
  <si>
    <t>Thesis (aggressive posture, sized to conviction): overweights Financials +4.2, Industrials +2.1, Energy +2.1, Info Tech +1.8 all express the higher-for-longer / AI-buildout view; funded by rate-sensitive defensives (Health Care -3.9, Staples -2.5, Real Estate -1.3, Utilities -1.2). All 11 sectors held (diversification policy). Cost acknowledged: higher tracking error vs. benchmark and equity beta modestly above 1 - disclosed and monitored.</t>
  </si>
  <si>
    <t>JPM is ~55% of the Financials allocation ($50,000 of $91,800) - deliberate single-name conviction from the ACCM equity research report (BUY, $342 target); XLF diversifies the remainder. JPM = 5.0% of total portfolio (policy max).</t>
  </si>
  <si>
    <t>Model Linkage — Economic Model to Capital Markets Outlook</t>
  </si>
  <si>
    <t>Shows how each expected-return input comes from the ACCM Economic and Inflation Model (frozen July 31, 2026).</t>
  </si>
  <si>
    <t>The US equity earnings-growth input is built here. The Expected Returns CMO sheet points at it.</t>
  </si>
  <si>
    <t>U.S. equity earnings growth — build</t>
  </si>
  <si>
    <t>Component</t>
  </si>
  <si>
    <t>Value</t>
  </si>
  <si>
    <t>Source / derivation</t>
  </si>
  <si>
    <t>Nominal GDP growth</t>
  </si>
  <si>
    <t>ACCM Economic and Inflation Model, SUMMARY sheet (frozen July 31, 2026)</t>
  </si>
  <si>
    <t>AI-driven margin contribution</t>
  </si>
  <si>
    <t>ASSUMPTION: operating leverage from the data-center buildout accruing to index constituents</t>
  </si>
  <si>
    <t>U.S. EQUITY EARNINGS GROWTH</t>
  </si>
  <si>
    <t>Carried to Expected Returns CMO cell C5</t>
  </si>
  <si>
    <t>The finding. Expected active return is insensitive to the level of the US equity forecast. US equities are 54% of the</t>
  </si>
  <si>
    <t>portfolio against 50% of the benchmark, so a change in their expected return shifts both sides by almost the same amount.</t>
  </si>
  <si>
    <t>Active return comes from the tilts - emerging markets over developed, the fixed income sleeve over the aggregate index -</t>
  </si>
  <si>
    <t>not from the level of the equity forecast.</t>
  </si>
  <si>
    <t>Optimizer note. The scenario weights on the Optimizer sheet were solved in Excel Solver under the policy constraints. Lowering the US equity</t>
  </si>
  <si>
    <t>expected return from 7.10% to 6.52% widens the gap to emerging markets, so it would push an unconstrained solution further toward EM.</t>
  </si>
  <si>
    <t>Max Return and Max Sharpe already sit at their constraint bounds (40% US equity, 40% EM), so those are unchanged. Re-run Solver before</t>
  </si>
  <si>
    <t>relying on the interior Min StdDev solution.</t>
  </si>
  <si>
    <t>Benchmark Returns</t>
  </si>
  <si>
    <t>ACCM Returns</t>
  </si>
  <si>
    <t>Description</t>
  </si>
  <si>
    <t>Date</t>
  </si>
  <si>
    <t>Return</t>
  </si>
  <si>
    <t>Russell 3000 ETF (VTHR US)</t>
  </si>
  <si>
    <t>Domestic Equities</t>
  </si>
  <si>
    <t>Last Updated</t>
  </si>
  <si>
    <t>DEQ</t>
  </si>
  <si>
    <t>Cost</t>
  </si>
  <si>
    <t>FI</t>
  </si>
  <si>
    <t>Market Value</t>
  </si>
  <si>
    <t>MSCI ACWI ex-US ETF (ACWX US)</t>
  </si>
  <si>
    <t>Last Updated:</t>
  </si>
  <si>
    <t>International Equities</t>
  </si>
  <si>
    <t>Cash</t>
  </si>
  <si>
    <t>EMEQ</t>
  </si>
  <si>
    <t>Total Equity</t>
  </si>
  <si>
    <t>Cash (BIL)</t>
  </si>
  <si>
    <t>US Aggregate Bond ETF (AGG US)</t>
  </si>
  <si>
    <t>DMEQ</t>
  </si>
  <si>
    <t>Total Portfolio Cost</t>
  </si>
  <si>
    <t>Benchmark Return (R3000 50% / MSCI ex. U.S. 20% / AGG 30%)</t>
  </si>
  <si>
    <t>Total International Return</t>
  </si>
  <si>
    <t>Total Portfolio Value</t>
  </si>
  <si>
    <t>Total Equity Return</t>
  </si>
  <si>
    <t>Angel City Capital Management Return</t>
  </si>
  <si>
    <t>Relative Performance</t>
  </si>
  <si>
    <t>June 2026 one-month backtest (6/1–6/30 closes, dividend-adjusted). Values: yfinance total-return data; verified against Bloomberg PORT (portfolio +0.401%, benchmark −0.130%, active +0.531%).</t>
  </si>
  <si>
    <t>ACCM Equity Screener — Bloomberg EQS (growth at a reasonable price, adapted to higher-for-longer outlook)</t>
  </si>
  <si>
    <t>Two-stage process. STAGE 1 (EQS, as run): universe 1,650,965 -&gt; active 605,134 -&gt; US exchanges 29,256 -&gt; US domicile 15,663 -&gt; GICS Financials 1,044 -&gt; mkt cap &gt;= $20B: 76 -&gt; latest quarterly revenue growth YoY &gt; 0: 65 -&gt; ROE &gt; 10%: 50 names. STAGE 2 (evaluation of output): rows below; bank variant applies since sector = Financials. JPM selected: largest bank, highest bank ROE (17.0%), growth within 0.4pt of bank leader.</t>
  </si>
  <si>
    <t>#</t>
  </si>
  <si>
    <t>Criterion</t>
  </si>
  <si>
    <t>Direction / Threshold</t>
  </si>
  <si>
    <t>Rationale (link to outlook)</t>
  </si>
  <si>
    <t>1</t>
  </si>
  <si>
    <t>Country of domicile: United States</t>
  </si>
  <si>
    <t>Equals: US</t>
  </si>
  <si>
    <t>Policy universe (NYSE/AMEX/NASDAQ); U.S.-centric outlook</t>
  </si>
  <si>
    <t>2</t>
  </si>
  <si>
    <t>GICS Sector</t>
  </si>
  <si>
    <t>Equals: [input sector]</t>
  </si>
  <si>
    <t>Screen run within the sector being allocated</t>
  </si>
  <si>
    <t>3</t>
  </si>
  <si>
    <t>Market capitalization</t>
  </si>
  <si>
    <t>&gt;= $20B</t>
  </si>
  <si>
    <t>Liquidity / "easily marketable" per investment policy</t>
  </si>
  <si>
    <t>4</t>
  </si>
  <si>
    <t>Revenue growth, FY2021-FY2025</t>
  </si>
  <si>
    <t>Higher better (rank)</t>
  </si>
  <si>
    <t>Growth tilt: 10-yr style analysis shows Pure Growth Sharpe 0.66 vs Value 0.42</t>
  </si>
  <si>
    <t>5</t>
  </si>
  <si>
    <t>Revenue growth, FY2026E-FY2028E (consensus)</t>
  </si>
  <si>
    <t>Forward growth consistent with 5.4% nominal GDP outlook</t>
  </si>
  <si>
    <t>6</t>
  </si>
  <si>
    <t>Diluted EPS growth, FY2021-FY2025</t>
  </si>
  <si>
    <t>Profitable growth, not just top line</t>
  </si>
  <si>
    <t>7</t>
  </si>
  <si>
    <t>EPS growth, FY2026E-FY2028E (consensus)</t>
  </si>
  <si>
    <t>Earnings momentum into the forecast window</t>
  </si>
  <si>
    <t>8</t>
  </si>
  <si>
    <t>PEG ratio (fwd P/E / fwd EPS growth)</t>
  </si>
  <si>
    <t>&lt;= ~2.0; lower better</t>
  </si>
  <si>
    <t>Valuation guard: elevated rates cap multiple expansion - pay for growth, not hype</t>
  </si>
  <si>
    <t>9</t>
  </si>
  <si>
    <t>Price / Free Cash Flow</t>
  </si>
  <si>
    <t>Lower better (rank)</t>
  </si>
  <si>
    <t>Professor-specified: growth companies that are relatively cheaper</t>
  </si>
  <si>
    <t>10</t>
  </si>
  <si>
    <t>ROIC</t>
  </si>
  <si>
    <t>Quality: returns above cost of capital when capital is no longer cheap</t>
  </si>
  <si>
    <t>11</t>
  </si>
  <si>
    <t>EBIT / Interest expense</t>
  </si>
  <si>
    <t>&gt;= 5x</t>
  </si>
  <si>
    <t>Higher-for-longer: refinancing at ~4.9% 10Y punishes weak balance sheets</t>
  </si>
  <si>
    <t>Financials variant (bank metrics; cash-flow ratios are not meaningful for banks):</t>
  </si>
  <si>
    <t>9b</t>
  </si>
  <si>
    <t>Return on Equity</t>
  </si>
  <si>
    <t>Higher better; &gt;= 12%</t>
  </si>
  <si>
    <t>Bank profitability metric; JPM ~17% vs peers</t>
  </si>
  <si>
    <t>10b</t>
  </si>
  <si>
    <t>Price/Book vs. ROE</t>
  </si>
  <si>
    <t>P/B justified by ROE spread over Ke</t>
  </si>
  <si>
    <t>Consistent with DGM valuation framework</t>
  </si>
  <si>
    <t>11b</t>
  </si>
  <si>
    <t>Dividend + buyback growth</t>
  </si>
  <si>
    <t>Higher better</t>
  </si>
  <si>
    <t>Feeds the DGM: value = capitalized cash to shareholders</t>
  </si>
  <si>
    <t>12b</t>
  </si>
  <si>
    <t>CET1 / Tier 1 capital</t>
  </si>
  <si>
    <t>Above regulatory minimum + buffer</t>
  </si>
  <si>
    <t>Balance-sheet strength; stress-test resilience</t>
  </si>
  <si>
    <t>Outcome: within Financials, the screen surfaced large-cap banks with superior ROE and EPS growth; JPMorgan Chase selected on combined screen rank + DGM upside (see Equity Research Report, BUY, $342 target).</t>
  </si>
  <si>
    <t>Sector ETF Family Comparison — Fund Selection Criteria (Guidelines Section F)</t>
  </si>
  <si>
    <t>Select Sector SPDRs (XL…) — CHOSEN</t>
  </si>
  <si>
    <t>Vanguard Sector ETFs</t>
  </si>
  <si>
    <t>Fidelity MSCI Sector ETFs</t>
  </si>
  <si>
    <t>iShares U.S. Sector ETFs</t>
  </si>
  <si>
    <t>Expense ratio</t>
  </si>
  <si>
    <t>0.08% (all 11 funds)</t>
  </si>
  <si>
    <t>~0.09–0.10%</t>
  </si>
  <si>
    <t>~0.084%</t>
  </si>
  <si>
    <t>~0.39–0.40%</t>
  </si>
  <si>
    <t>AUM range</t>
  </si>
  <si>
    <t>$8B–$125B (largest)</t>
  </si>
  <si>
    <t>$5B–$90B</t>
  </si>
  <si>
    <t>$1B–$10B</t>
  </si>
  <si>
    <t>$0.5B–$5B</t>
  </si>
  <si>
    <t>Liquidity / spreads</t>
  </si>
  <si>
    <t>Deepest volume, ~1bp spreads</t>
  </si>
  <si>
    <t>Good</t>
  </si>
  <si>
    <t>Moderate</t>
  </si>
  <si>
    <t>Index / coverage</t>
  </si>
  <si>
    <t>S&amp;P 500 sectors (large-cap), GICS</t>
  </si>
  <si>
    <t>MSCI 25/50 broad (incl. mid/small)</t>
  </si>
  <si>
    <t>MSCI 25/50 broad</t>
  </si>
  <si>
    <t>Russell/S&amp;P mixes</t>
  </si>
  <si>
    <t>Benchmark fit vs R3000</t>
  </si>
  <si>
    <t>Large-cap only (~90%+ of R3000 wt)</t>
  </si>
  <si>
    <t>Closest to R3000 coverage</t>
  </si>
  <si>
    <t>Close</t>
  </si>
  <si>
    <t>Varies</t>
  </si>
  <si>
    <t>Inception</t>
  </si>
  <si>
    <t>1998 (longest live record)</t>
  </si>
  <si>
    <t>2004</t>
  </si>
  <si>
    <t>2013</t>
  </si>
  <si>
    <t>2000</t>
  </si>
  <si>
    <t>Methodological consistency</t>
  </si>
  <si>
    <t>Single family, uniform GICS, all 11 sectors</t>
  </si>
  <si>
    <t>Uniform</t>
  </si>
  <si>
    <t>Decision: Select Sector SPDR suite chosen on expense (0.08%), AUM/liquidity (largest and most traded sector ETFs), longest live track record, and methodological consistency (one index family, GICS definitions matching our sector framework).</t>
  </si>
  <si>
    <t>Acknowledged trade-off: XL funds hold S&amp;P 500 constituents only; Vanguard sector funds cover more of the Russell 3000 small/mid tail but at higher cost and lower liquidity. Non-XL figures approximate — verify current values if cited directly.</t>
  </si>
  <si>
    <t>Capital Markets Outlook — 12-Month Expected Returns by Asset Class (building-block method)</t>
  </si>
  <si>
    <t>Blue inputs tie to the ACCM Economic and Inflation Model, frozen July 31, 2026: nominal GDP 5.24%, inflation 3.43%, ten-year Treasury 4.90%. The US equity earnings-growth input is built on the Model Linkage sheet.</t>
  </si>
  <si>
    <t>Asset Class</t>
  </si>
  <si>
    <t>Income / Yield</t>
  </si>
  <si>
    <t>Growth / Roll</t>
  </si>
  <si>
    <t>Valuation / Rate Impact</t>
  </si>
  <si>
    <t>Expected Return</t>
  </si>
  <si>
    <t>Rationale</t>
  </si>
  <si>
    <t>U.S. Equities (Russell 3000)</t>
  </si>
  <si>
    <t>Dividend yield 1.1% (FTSE factsheet 5/31/26) plus buyback ~1%. Earnings growth 7.74% = nominal GDP 5.24% + 2.5pt AI margin contribution. Less 2.5pt multiple compression as the ten-year drifts toward 4.90%.</t>
  </si>
  <si>
    <t>Intl Developed (MSCI EAFE)</t>
  </si>
  <si>
    <t>Higher div yield; weak EU/Japan growth per ACCM outlooks; modest de-rating risk</t>
  </si>
  <si>
    <t>Emerging Markets (MSCI EM)</t>
  </si>
  <si>
    <t>India consumption, China tech, Korea/Taiwan AI supply chain; earnings ~8%; EM multiples already re-rated after 2025-26 rally</t>
  </si>
  <si>
    <t>U.S. Aggregate Bonds</t>
  </si>
  <si>
    <t>YTW ~4.6%; duration ~6.0 x +30bp belly rise as 10Y drifts toward 4.9% forecast</t>
  </si>
  <si>
    <t>ACCM FI Sleeve</t>
  </si>
  <si>
    <t>Sleeve blended yield (mix of YTM, YTW and SEC yield; see Target Allocation) 5.01%, duration 5.06 (see Target Allocation); same +30bp rate drift</t>
  </si>
  <si>
    <t>Cash (1-3mo T-Bills)</t>
  </si>
  <si>
    <t>Current bill yield 3.7%; Fed on hold (hike risk = upside to this figure)</t>
  </si>
  <si>
    <t>Portfolio Return Goal vs. Benchmark Expected Return</t>
  </si>
  <si>
    <t>ACCM Portfolio (75% eq: 54% US / 12% EM / 9% DM; 21% FI sleeve; 4% cash)</t>
  </si>
  <si>
    <t>Blended Benchmark (50% R3000 / 20% ACWI ex-US ≈ 75% DM + 25% EM / 30% Agg)</t>
  </si>
  <si>
    <t>Expected active return (allocation tilts, before JPM security selection)</t>
  </si>
  <si>
    <t>JPM contribution: the DGM implies a 16.1% twelve-month total return against 6.3% for US equities on the same basis. At a 5% portfolio weight that adds about 0.49 points to the portfolio expected return through security selection.</t>
  </si>
  <si>
    <t>Risk context: optimizer covariance (10-yr monthly) puts portfolio std dev near ~11%; expected Sharpe ≈ (ER − cash) / σ. One-year expectations are planning inputs, not forecasts of realized returns.</t>
  </si>
  <si>
    <t>Optimizer Rerun — ACCM Expected Returns, Historical Covariance (HW4 method, June 23 class)</t>
  </si>
  <si>
    <t>Expected returns from Expected Returns CMO sheet; covariance matrix = 10-yr monthly (N=120) from HW4 optimizer. Constraints: equity 60-80%, FI 20-40%, cash 0-20%, foreign &lt;= 50% of equity. Optimization solved numerically; weights below are the solved values, metrics computed live.</t>
  </si>
  <si>
    <t>Asset</t>
  </si>
  <si>
    <t>Annual ER</t>
  </si>
  <si>
    <t>Monthly mu</t>
  </si>
  <si>
    <t>US Equity (R3000)</t>
  </si>
  <si>
    <t>Intl Developed (M1EA)</t>
  </si>
  <si>
    <t>Emerging Mkts (M1EF)</t>
  </si>
  <si>
    <t>Bonds (Agg)</t>
  </si>
  <si>
    <t>Cash (T-Bills)</t>
  </si>
  <si>
    <t>Monthly Variance-Covariance Matrix (source: Portfolio Optimizer HW4, 10-yr monthly)</t>
  </si>
  <si>
    <t>Scenario Weights &amp; Metrics</t>
  </si>
  <si>
    <t>Max Return</t>
  </si>
  <si>
    <t>Min StdDev</t>
  </si>
  <si>
    <t>Max Sharpe</t>
  </si>
  <si>
    <t>ACCM chosen</t>
  </si>
  <si>
    <t>Benchmark 50/20/30</t>
  </si>
  <si>
    <t>Sum of weights</t>
  </si>
  <si>
    <t>Helper: (Cov x w) per asset</t>
  </si>
  <si>
    <t>Monthly return</t>
  </si>
  <si>
    <t>Annual return</t>
  </si>
  <si>
    <t>Annual std dev</t>
  </si>
  <si>
    <t>Sharpe (vs cash ER)</t>
  </si>
  <si>
    <t>Interpretation: with ACCM expected returns, Max Sharpe and Max Return converge on the same corner solution - 40% US / 40% EM equity - because EM carries the</t>
  </si>
  <si>
    <t>highest expected return and the foreign limit (50% of equity) binds. ACCM tempers this to 12% EM (still ~2.4x the benchmark weight): a 40% single-region EM</t>
  </si>
  <si>
    <t>position ignores estimation error in expected returns, single-region concentration risk, and EM volatility (17.5% ann.). The chosen 75/21/4 portfolio earns a</t>
  </si>
  <si>
    <t>higher expected return AND higher Sharpe than the benchmark, sitting deliberately between Min StdDev and Max Sharpe. The Min StdDev</t>
  </si>
  <si>
    <t>weights are a numerical solution and are approximate. An independent solve gives a volatility within half a basis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</si>
</sst>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0.0"/>
    <numFmt numFmtId="166" formatCode="\$0.0"/>
    <numFmt numFmtId="167" formatCode="0.0%"/>
    <numFmt numFmtId="168" formatCode="\+0.0%;\-0.0%"/>
    <numFmt numFmtId="169" formatCode="\$#,##0.00"/>
    <numFmt numFmtId="170" formatCode="_([$$-409]* #,##0.00_);_([$$-409]* \(#,##0.00\);_([$$-409]* \-??_);_(@_)"/>
    <numFmt numFmtId="171" formatCode="0.000%"/>
    <numFmt numFmtId="172" formatCode="0.000000"/>
    <numFmt numFmtId="173" formatCode="0.000"/>
  </numFmts>
  <fonts count="23" x14ac:knownFonts="1">
    <font>
      <sz val="10"/>
      <color rgb="FF000000"/>
      <name val="Arial"/>
      <charset val="1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color rgb="FF1F3A5F"/>
      <name val="Arial"/>
      <family val="2"/>
    </font>
    <font>
      <sz val="9"/>
      <name val="Arial"/>
      <family val="2"/>
    </font>
    <font>
      <b/>
      <sz val="12"/>
      <color rgb="FF1F3A5F"/>
      <name val="Arial"/>
      <family val="2"/>
    </font>
    <font>
      <b/>
      <sz val="9"/>
      <color rgb="FF000000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sz val="11"/>
      <color rgb="FF008000"/>
      <name val="Arial"/>
      <family val="2"/>
    </font>
    <font>
      <b/>
      <sz val="11"/>
      <color rgb="FF1F3A5F"/>
      <name val="Arial"/>
      <family val="2"/>
    </font>
    <font>
      <b/>
      <sz val="9"/>
      <name val="Arial"/>
      <family val="2"/>
    </font>
    <font>
      <sz val="10"/>
      <color rgb="FF006600"/>
      <name val="Arial"/>
      <family val="2"/>
    </font>
    <font>
      <b/>
      <sz val="11"/>
      <color rgb="FF1E7B34"/>
      <name val="Arial"/>
      <family val="2"/>
    </font>
    <font>
      <b/>
      <sz val="12"/>
      <name val="Arial"/>
      <family val="2"/>
    </font>
    <font>
      <sz val="10"/>
      <color rgb="FF0000E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9"/>
      <color rgb="FF1F1F1F"/>
      <name val="Arial"/>
      <family val="2"/>
    </font>
    <font>
      <b/>
      <sz val="10"/>
      <color rgb="FF000000"/>
      <name val="Arial"/>
      <family val="2"/>
    </font>
    <font>
      <b/>
      <sz val="11"/>
      <color rgb="FF1F3553"/>
      <name val="Arial"/>
      <family val="2"/>
    </font>
    <font>
      <sz val="10"/>
      <color rgb="FF0000CC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FF1F3A5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9" fontId="8" fillId="0" borderId="0" xfId="0" applyNumberFormat="1" applyFont="1"/>
    <xf numFmtId="164" fontId="2" fillId="0" borderId="0" xfId="0" applyNumberFormat="1" applyFont="1"/>
    <xf numFmtId="0" fontId="9" fillId="0" borderId="0" xfId="0" applyFont="1"/>
    <xf numFmtId="9" fontId="7" fillId="0" borderId="0" xfId="0" applyNumberFormat="1" applyFont="1"/>
    <xf numFmtId="164" fontId="8" fillId="0" borderId="0" xfId="0" applyNumberFormat="1" applyFont="1"/>
    <xf numFmtId="10" fontId="8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164" fontId="7" fillId="0" borderId="0" xfId="0" applyNumberFormat="1" applyFont="1"/>
    <xf numFmtId="10" fontId="7" fillId="0" borderId="0" xfId="0" applyNumberFormat="1" applyFont="1"/>
    <xf numFmtId="165" fontId="7" fillId="0" borderId="0" xfId="0" applyNumberFormat="1" applyFont="1"/>
    <xf numFmtId="167" fontId="10" fillId="0" borderId="0" xfId="0" applyNumberFormat="1" applyFont="1"/>
    <xf numFmtId="171" fontId="2" fillId="0" borderId="0" xfId="0" applyNumberFormat="1" applyFont="1"/>
    <xf numFmtId="0" fontId="11" fillId="0" borderId="0" xfId="0" applyFont="1"/>
    <xf numFmtId="0" fontId="12" fillId="0" borderId="0" xfId="0" applyFont="1"/>
    <xf numFmtId="172" fontId="8" fillId="0" borderId="0" xfId="0" applyNumberFormat="1" applyFont="1"/>
    <xf numFmtId="167" fontId="8" fillId="0" borderId="0" xfId="0" applyNumberFormat="1" applyFont="1"/>
    <xf numFmtId="167" fontId="2" fillId="0" borderId="0" xfId="0" applyNumberFormat="1" applyFont="1"/>
    <xf numFmtId="172" fontId="2" fillId="0" borderId="0" xfId="0" applyNumberFormat="1" applyFont="1"/>
    <xf numFmtId="171" fontId="7" fillId="0" borderId="0" xfId="0" applyNumberFormat="1" applyFont="1"/>
    <xf numFmtId="173" fontId="7" fillId="0" borderId="0" xfId="0" applyNumberFormat="1" applyFont="1"/>
    <xf numFmtId="0" fontId="4" fillId="0" borderId="0" xfId="0" applyFont="1" applyAlignment="1">
      <alignment vertical="top"/>
    </xf>
    <xf numFmtId="167" fontId="13" fillId="0" borderId="0" xfId="0" applyNumberFormat="1" applyFont="1"/>
    <xf numFmtId="167" fontId="7" fillId="0" borderId="0" xfId="0" applyNumberFormat="1" applyFont="1"/>
    <xf numFmtId="0" fontId="2" fillId="0" borderId="0" xfId="0" applyFont="1" applyAlignment="1">
      <alignment vertical="top" wrapText="1"/>
    </xf>
    <xf numFmtId="168" fontId="14" fillId="0" borderId="0" xfId="0" applyNumberFormat="1" applyFont="1"/>
    <xf numFmtId="0" fontId="7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5" fillId="0" borderId="0" xfId="0" applyFont="1"/>
    <xf numFmtId="169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6" fillId="0" borderId="4" xfId="0" applyFont="1" applyBorder="1"/>
    <xf numFmtId="14" fontId="16" fillId="0" borderId="0" xfId="0" applyNumberFormat="1" applyFont="1" applyAlignment="1">
      <alignment horizontal="right"/>
    </xf>
    <xf numFmtId="169" fontId="17" fillId="0" borderId="5" xfId="0" applyNumberFormat="1" applyFont="1" applyBorder="1" applyAlignment="1">
      <alignment horizontal="right"/>
    </xf>
    <xf numFmtId="0" fontId="18" fillId="0" borderId="4" xfId="0" applyFont="1" applyBorder="1"/>
    <xf numFmtId="0" fontId="1" fillId="0" borderId="5" xfId="0" applyFont="1" applyBorder="1"/>
    <xf numFmtId="0" fontId="18" fillId="0" borderId="6" xfId="0" applyFont="1" applyBorder="1"/>
    <xf numFmtId="0" fontId="1" fillId="0" borderId="7" xfId="0" applyFont="1" applyBorder="1"/>
    <xf numFmtId="169" fontId="1" fillId="0" borderId="8" xfId="0" applyNumberFormat="1" applyFont="1" applyBorder="1"/>
    <xf numFmtId="0" fontId="1" fillId="0" borderId="4" xfId="0" applyFont="1" applyBorder="1"/>
    <xf numFmtId="14" fontId="1" fillId="0" borderId="0" xfId="0" applyNumberFormat="1" applyFont="1" applyAlignment="1">
      <alignment horizontal="right"/>
    </xf>
    <xf numFmtId="169" fontId="17" fillId="0" borderId="0" xfId="0" applyNumberFormat="1" applyFont="1" applyAlignment="1">
      <alignment horizontal="right"/>
    </xf>
    <xf numFmtId="169" fontId="19" fillId="0" borderId="0" xfId="0" applyNumberFormat="1" applyFont="1"/>
    <xf numFmtId="0" fontId="16" fillId="0" borderId="0" xfId="0" applyFont="1"/>
    <xf numFmtId="10" fontId="20" fillId="0" borderId="8" xfId="0" applyNumberFormat="1" applyFont="1" applyBorder="1" applyAlignment="1">
      <alignment horizontal="right"/>
    </xf>
    <xf numFmtId="169" fontId="17" fillId="0" borderId="9" xfId="0" applyNumberFormat="1" applyFont="1" applyBorder="1" applyAlignment="1">
      <alignment horizontal="right"/>
    </xf>
    <xf numFmtId="10" fontId="20" fillId="0" borderId="5" xfId="0" applyNumberFormat="1" applyFont="1" applyBorder="1" applyAlignment="1">
      <alignment horizontal="right"/>
    </xf>
    <xf numFmtId="169" fontId="1" fillId="0" borderId="5" xfId="0" applyNumberFormat="1" applyFont="1" applyBorder="1"/>
    <xf numFmtId="170" fontId="1" fillId="0" borderId="5" xfId="0" applyNumberFormat="1" applyFont="1" applyBorder="1"/>
    <xf numFmtId="0" fontId="17" fillId="0" borderId="0" xfId="0" applyFont="1"/>
    <xf numFmtId="10" fontId="2" fillId="0" borderId="0" xfId="0" applyNumberFormat="1" applyFont="1"/>
    <xf numFmtId="0" fontId="18" fillId="0" borderId="7" xfId="0" applyFont="1" applyBorder="1"/>
    <xf numFmtId="10" fontId="1" fillId="0" borderId="5" xfId="0" applyNumberFormat="1" applyFont="1" applyBorder="1"/>
    <xf numFmtId="169" fontId="2" fillId="0" borderId="5" xfId="0" applyNumberFormat="1" applyFont="1" applyBorder="1" applyAlignment="1">
      <alignment horizontal="right"/>
    </xf>
    <xf numFmtId="0" fontId="18" fillId="0" borderId="10" xfId="0" applyFont="1" applyBorder="1"/>
    <xf numFmtId="0" fontId="18" fillId="0" borderId="11" xfId="0" applyFont="1" applyBorder="1"/>
    <xf numFmtId="10" fontId="20" fillId="0" borderId="9" xfId="0" applyNumberFormat="1" applyFont="1" applyBorder="1" applyAlignment="1">
      <alignment horizontal="right"/>
    </xf>
    <xf numFmtId="10" fontId="20" fillId="0" borderId="5" xfId="0" applyNumberFormat="1" applyFont="1" applyBorder="1"/>
    <xf numFmtId="170" fontId="2" fillId="0" borderId="9" xfId="0" applyNumberFormat="1" applyFont="1" applyBorder="1" applyAlignment="1">
      <alignment horizontal="right"/>
    </xf>
    <xf numFmtId="0" fontId="18" fillId="0" borderId="12" xfId="0" applyFont="1" applyBorder="1"/>
    <xf numFmtId="0" fontId="1" fillId="0" borderId="13" xfId="0" applyFont="1" applyBorder="1"/>
    <xf numFmtId="10" fontId="20" fillId="0" borderId="14" xfId="0" applyNumberFormat="1" applyFont="1" applyBorder="1" applyAlignment="1">
      <alignment horizontal="right"/>
    </xf>
    <xf numFmtId="0" fontId="1" fillId="0" borderId="11" xfId="0" applyFont="1" applyBorder="1"/>
    <xf numFmtId="0" fontId="16" fillId="0" borderId="10" xfId="0" applyFont="1" applyBorder="1"/>
    <xf numFmtId="10" fontId="2" fillId="0" borderId="9" xfId="0" applyNumberFormat="1" applyFont="1" applyBorder="1" applyAlignment="1">
      <alignment horizontal="right"/>
    </xf>
    <xf numFmtId="0" fontId="21" fillId="0" borderId="0" xfId="0" applyFont="1"/>
    <xf numFmtId="0" fontId="6" fillId="0" borderId="1" xfId="0" applyFont="1" applyBorder="1" applyAlignment="1">
      <alignment vertical="center" wrapText="1"/>
    </xf>
    <xf numFmtId="0" fontId="1" fillId="0" borderId="2" xfId="0" applyFont="1" applyBorder="1"/>
    <xf numFmtId="10" fontId="22" fillId="0" borderId="2" xfId="0" applyNumberFormat="1" applyFont="1" applyBorder="1"/>
    <xf numFmtId="0" fontId="4" fillId="0" borderId="0" xfId="0" applyFont="1" applyAlignment="1">
      <alignment vertical="top" wrapText="1"/>
    </xf>
    <xf numFmtId="0" fontId="18" fillId="0" borderId="3" xfId="0" applyFont="1" applyBorder="1"/>
    <xf numFmtId="10" fontId="2" fillId="0" borderId="3" xfId="0" applyNumberFormat="1" applyFont="1" applyBorder="1"/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164" fontId="10" fillId="0" borderId="0" xfId="0" applyNumberFormat="1" applyFont="1"/>
    <xf numFmtId="168" fontId="2" fillId="0" borderId="0" xfId="0" applyNumberFormat="1" applyFont="1"/>
    <xf numFmtId="168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CC"/>
      <rgbColor rgb="FF808000"/>
      <rgbColor rgb="FF800080"/>
      <rgbColor rgb="FF1E7B34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1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6600"/>
      <rgbColor rgb="FF1F1F1F"/>
      <rgbColor rgb="FF993300"/>
      <rgbColor rgb="FF993366"/>
      <rgbColor rgb="FF333399"/>
      <rgbColor rgb="FF1F35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A36" sqref="A36"/>
    </sheetView>
  </sheetViews>
  <sheetFormatPr defaultColWidth="8.6328125" defaultRowHeight="12.5" x14ac:dyDescent="0.25"/>
  <cols>
    <col min="1" max="1" width="42" style="2" customWidth="1"/>
    <col min="2" max="2" width="10" style="2" customWidth="1"/>
    <col min="3" max="3" width="10.6328125" style="2" customWidth="1"/>
    <col min="4" max="4" width="13" style="2" customWidth="1"/>
    <col min="5" max="5" width="15" style="2" customWidth="1"/>
    <col min="6" max="6" width="13" style="2" customWidth="1"/>
    <col min="7" max="8" width="10" style="2" customWidth="1"/>
    <col min="9" max="16384" width="8.6328125" style="2"/>
  </cols>
  <sheetData>
    <row r="1" spans="1:5" ht="17.25" customHeight="1" x14ac:dyDescent="0.4">
      <c r="A1" s="1" t="s">
        <v>0</v>
      </c>
    </row>
    <row r="2" spans="1:5" ht="15" customHeight="1" x14ac:dyDescent="0.25">
      <c r="A2" s="3" t="s">
        <v>1</v>
      </c>
    </row>
    <row r="3" spans="1:5" ht="12" customHeight="1" x14ac:dyDescent="0.25"/>
    <row r="4" spans="1:5" ht="15" customHeight="1" x14ac:dyDescent="0.35">
      <c r="A4" s="4" t="s">
        <v>2</v>
      </c>
    </row>
    <row r="5" spans="1:5" ht="1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ht="15" customHeight="1" x14ac:dyDescent="0.3">
      <c r="A6" s="6" t="s">
        <v>8</v>
      </c>
      <c r="B6" s="7">
        <v>0.75</v>
      </c>
      <c r="C6" s="8">
        <f>B6*$C$10</f>
        <v>750000</v>
      </c>
      <c r="D6" s="9" t="s">
        <v>9</v>
      </c>
      <c r="E6" s="2" t="str">
        <f>IF(AND(B6&gt;=0.6,B6&lt;=0.8),"Yes","NO")</f>
        <v>Yes</v>
      </c>
    </row>
    <row r="7" spans="1:5" ht="15" customHeight="1" x14ac:dyDescent="0.3">
      <c r="A7" s="6" t="s">
        <v>10</v>
      </c>
      <c r="B7" s="7">
        <v>0.21</v>
      </c>
      <c r="C7" s="8">
        <f>B7*$C$10</f>
        <v>210000</v>
      </c>
      <c r="D7" s="9" t="s">
        <v>11</v>
      </c>
      <c r="E7" s="2" t="str">
        <f>IF(AND(B7&gt;=0.2,B7&lt;=0.4),"Yes","NO")</f>
        <v>Yes</v>
      </c>
    </row>
    <row r="8" spans="1:5" ht="15" customHeight="1" x14ac:dyDescent="0.3">
      <c r="A8" s="6" t="s">
        <v>12</v>
      </c>
      <c r="B8" s="7">
        <v>0.04</v>
      </c>
      <c r="C8" s="8">
        <f>B8*$C$10</f>
        <v>40000</v>
      </c>
      <c r="D8" s="9" t="s">
        <v>13</v>
      </c>
      <c r="E8" s="2" t="str">
        <f>IF(AND(B8&gt;=0,B8&lt;=0.2),"Yes","NO")</f>
        <v>Yes</v>
      </c>
    </row>
    <row r="9" spans="1:5" ht="15" customHeight="1" x14ac:dyDescent="0.3">
      <c r="A9" s="6" t="s">
        <v>14</v>
      </c>
      <c r="B9" s="7">
        <v>0</v>
      </c>
      <c r="C9" s="8">
        <f>B9*$C$10</f>
        <v>0</v>
      </c>
      <c r="D9" s="9" t="s">
        <v>15</v>
      </c>
      <c r="E9" s="2" t="str">
        <f>IF(AND(B9&gt;=0,B9&lt;=0.05),"Yes","NO")</f>
        <v>Yes</v>
      </c>
    </row>
    <row r="10" spans="1:5" ht="15" customHeight="1" x14ac:dyDescent="0.3">
      <c r="A10" s="6" t="s">
        <v>16</v>
      </c>
      <c r="B10" s="10">
        <f>SUM(B6:B9)</f>
        <v>1</v>
      </c>
      <c r="C10" s="11">
        <v>1000000</v>
      </c>
      <c r="D10" s="3" t="s">
        <v>17</v>
      </c>
    </row>
    <row r="11" spans="1:5" ht="12" customHeight="1" x14ac:dyDescent="0.25"/>
    <row r="12" spans="1:5" ht="15" customHeight="1" x14ac:dyDescent="0.35">
      <c r="A12" s="4" t="s">
        <v>18</v>
      </c>
    </row>
    <row r="13" spans="1:5" ht="15" customHeight="1" x14ac:dyDescent="0.25">
      <c r="A13" s="5" t="s">
        <v>19</v>
      </c>
      <c r="B13" s="5" t="s">
        <v>20</v>
      </c>
      <c r="C13" s="5" t="s">
        <v>5</v>
      </c>
    </row>
    <row r="14" spans="1:5" ht="15" customHeight="1" x14ac:dyDescent="0.3">
      <c r="A14" s="6" t="s">
        <v>21</v>
      </c>
      <c r="B14" s="7">
        <v>0.72</v>
      </c>
      <c r="C14" s="8">
        <f>B14*$C$6</f>
        <v>540000</v>
      </c>
    </row>
    <row r="15" spans="1:5" ht="15" customHeight="1" x14ac:dyDescent="0.3">
      <c r="A15" s="6" t="s">
        <v>22</v>
      </c>
      <c r="B15" s="7">
        <v>0.16</v>
      </c>
      <c r="C15" s="8">
        <f>B15*$C$6</f>
        <v>120000</v>
      </c>
    </row>
    <row r="16" spans="1:5" ht="15" customHeight="1" x14ac:dyDescent="0.3">
      <c r="A16" s="6" t="s">
        <v>23</v>
      </c>
      <c r="B16" s="7">
        <v>0.12</v>
      </c>
      <c r="C16" s="8">
        <f>B16*$C$6</f>
        <v>90000</v>
      </c>
    </row>
    <row r="17" spans="1:8" ht="15" customHeight="1" x14ac:dyDescent="0.35">
      <c r="A17" s="4" t="s">
        <v>24</v>
      </c>
    </row>
    <row r="18" spans="1:8" ht="15" customHeight="1" x14ac:dyDescent="0.25">
      <c r="A18" s="5" t="s">
        <v>25</v>
      </c>
      <c r="B18" s="5" t="s">
        <v>26</v>
      </c>
      <c r="C18" s="5" t="s">
        <v>27</v>
      </c>
      <c r="D18" s="5" t="s">
        <v>5</v>
      </c>
      <c r="E18" s="5" t="s">
        <v>28</v>
      </c>
      <c r="F18" s="5" t="s">
        <v>29</v>
      </c>
      <c r="G18" s="5" t="s">
        <v>30</v>
      </c>
      <c r="H18" s="5" t="s">
        <v>31</v>
      </c>
    </row>
    <row r="19" spans="1:8" ht="15" customHeight="1" x14ac:dyDescent="0.3">
      <c r="A19" s="6" t="s">
        <v>32</v>
      </c>
      <c r="B19" s="2" t="s">
        <v>33</v>
      </c>
      <c r="C19" s="7">
        <v>0.35</v>
      </c>
      <c r="D19" s="8">
        <f>C19*$C$7</f>
        <v>73500</v>
      </c>
      <c r="E19" s="12">
        <v>4.2799999999999998E-2</v>
      </c>
      <c r="F19" s="13">
        <v>4.9000000000000004</v>
      </c>
      <c r="G19" s="12">
        <v>2.9999999999999997E-4</v>
      </c>
      <c r="H19" s="14">
        <v>10.3</v>
      </c>
    </row>
    <row r="20" spans="1:8" ht="15" customHeight="1" x14ac:dyDescent="0.3">
      <c r="A20" s="6" t="s">
        <v>34</v>
      </c>
      <c r="B20" s="2" t="s">
        <v>35</v>
      </c>
      <c r="C20" s="7">
        <v>0.25</v>
      </c>
      <c r="D20" s="8">
        <f>C20*$C$7</f>
        <v>52500</v>
      </c>
      <c r="E20" s="12">
        <v>4.6100000000000002E-2</v>
      </c>
      <c r="F20" s="13">
        <v>6</v>
      </c>
      <c r="G20" s="12">
        <v>3.5999999999999999E-3</v>
      </c>
      <c r="H20" s="14">
        <v>26.7</v>
      </c>
    </row>
    <row r="21" spans="1:8" ht="15" customHeight="1" x14ac:dyDescent="0.3">
      <c r="A21" s="6" t="s">
        <v>36</v>
      </c>
      <c r="B21" s="2" t="s">
        <v>37</v>
      </c>
      <c r="C21" s="7">
        <v>0.2</v>
      </c>
      <c r="D21" s="8">
        <f>C21*$C$7</f>
        <v>42000</v>
      </c>
      <c r="E21" s="12">
        <v>6.8900000000000003E-2</v>
      </c>
      <c r="F21" s="13">
        <v>3</v>
      </c>
      <c r="G21" s="12">
        <v>4.8999999999999998E-3</v>
      </c>
      <c r="H21" s="14">
        <v>16.8</v>
      </c>
    </row>
    <row r="22" spans="1:8" ht="15" customHeight="1" x14ac:dyDescent="0.3">
      <c r="A22" s="6" t="s">
        <v>38</v>
      </c>
      <c r="B22" s="2" t="s">
        <v>35</v>
      </c>
      <c r="C22" s="7">
        <v>0.2</v>
      </c>
      <c r="D22" s="8">
        <f>C22*$C$7</f>
        <v>42000</v>
      </c>
      <c r="E22" s="12">
        <v>4.9000000000000002E-2</v>
      </c>
      <c r="F22" s="13">
        <v>6.21</v>
      </c>
      <c r="G22" s="12">
        <v>2.0999999999999999E-3</v>
      </c>
      <c r="H22" s="14">
        <v>6.8</v>
      </c>
    </row>
    <row r="23" spans="1:8" ht="15" customHeight="1" x14ac:dyDescent="0.3">
      <c r="A23" s="6" t="s">
        <v>39</v>
      </c>
      <c r="C23" s="10">
        <f>SUM(C19:C22)</f>
        <v>1</v>
      </c>
      <c r="D23" s="15">
        <f>SUM(D19:D22)</f>
        <v>210000</v>
      </c>
      <c r="E23" s="16">
        <f>SUMPRODUCT(C19:C22,E19:E22)</f>
        <v>5.0085000000000005E-2</v>
      </c>
      <c r="F23" s="17">
        <f>SUMPRODUCT(C19:C22,F19:F22)</f>
        <v>5.0570000000000004</v>
      </c>
      <c r="G23" s="16">
        <f>SUMPRODUCT(C19:C22,G19:G22)</f>
        <v>2.405E-3</v>
      </c>
    </row>
    <row r="24" spans="1:8" ht="12" customHeight="1" x14ac:dyDescent="0.25"/>
    <row r="25" spans="1:8" ht="15" customHeight="1" x14ac:dyDescent="0.25">
      <c r="A25" s="3" t="s">
        <v>40</v>
      </c>
    </row>
    <row r="26" spans="1:8" ht="15" customHeight="1" x14ac:dyDescent="0.25">
      <c r="A26" s="3" t="s">
        <v>41</v>
      </c>
    </row>
    <row r="27" spans="1:8" ht="15" customHeight="1" x14ac:dyDescent="0.25">
      <c r="A27" s="3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>
      <selection activeCell="B20" sqref="B20"/>
    </sheetView>
  </sheetViews>
  <sheetFormatPr defaultColWidth="8.6328125" defaultRowHeight="12.5" x14ac:dyDescent="0.25"/>
  <cols>
    <col min="1" max="1" width="24" style="2" customWidth="1"/>
    <col min="2" max="2" width="32" style="2" customWidth="1"/>
    <col min="3" max="3" width="17" style="2" customWidth="1"/>
    <col min="4" max="4" width="10" style="2" customWidth="1"/>
    <col min="5" max="5" width="11" style="2" customWidth="1"/>
    <col min="6" max="6" width="12" style="2" customWidth="1"/>
    <col min="7" max="16384" width="8.6328125" style="2"/>
  </cols>
  <sheetData>
    <row r="1" spans="1:6" ht="17.25" customHeight="1" x14ac:dyDescent="0.4">
      <c r="A1" s="1" t="s">
        <v>43</v>
      </c>
    </row>
    <row r="2" spans="1:6" ht="15" customHeight="1" x14ac:dyDescent="0.25">
      <c r="A2" s="3" t="s">
        <v>44</v>
      </c>
    </row>
    <row r="3" spans="1:6" ht="12" customHeight="1" x14ac:dyDescent="0.25"/>
    <row r="4" spans="1:6" ht="15" customHeight="1" x14ac:dyDescent="0.3">
      <c r="A4" s="6" t="s">
        <v>45</v>
      </c>
      <c r="B4" s="82">
        <f>'Target Allocation $1M'!C14</f>
        <v>540000</v>
      </c>
    </row>
    <row r="5" spans="1:6" ht="12" customHeight="1" x14ac:dyDescent="0.25"/>
    <row r="6" spans="1:6" ht="15" customHeight="1" x14ac:dyDescent="0.25">
      <c r="A6" s="5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</v>
      </c>
    </row>
    <row r="7" spans="1:6" ht="15" customHeight="1" x14ac:dyDescent="0.3">
      <c r="A7" s="6" t="s">
        <v>51</v>
      </c>
      <c r="B7" s="2" t="s">
        <v>52</v>
      </c>
      <c r="C7" s="23">
        <v>0.34218497576736701</v>
      </c>
      <c r="D7" s="23">
        <v>0.36</v>
      </c>
      <c r="E7" s="83">
        <f t="shared" ref="E7:E17" si="0">D7-C7</f>
        <v>1.7815024232632981E-2</v>
      </c>
      <c r="F7" s="8">
        <f t="shared" ref="F7:F17" si="1">D7*$B$4</f>
        <v>194400</v>
      </c>
    </row>
    <row r="8" spans="1:6" ht="15" customHeight="1" x14ac:dyDescent="0.3">
      <c r="A8" s="6" t="s">
        <v>53</v>
      </c>
      <c r="B8" s="2" t="s">
        <v>54</v>
      </c>
      <c r="C8" s="23">
        <v>0.12782714054927299</v>
      </c>
      <c r="D8" s="23">
        <v>0.17</v>
      </c>
      <c r="E8" s="83">
        <f t="shared" si="0"/>
        <v>4.2172859450727018E-2</v>
      </c>
      <c r="F8" s="8">
        <f t="shared" si="1"/>
        <v>91800</v>
      </c>
    </row>
    <row r="9" spans="1:6" ht="15" customHeight="1" x14ac:dyDescent="0.3">
      <c r="A9" s="6" t="s">
        <v>55</v>
      </c>
      <c r="B9" s="2" t="s">
        <v>56</v>
      </c>
      <c r="C9" s="23">
        <v>0.103695476575121</v>
      </c>
      <c r="D9" s="23">
        <v>0.125</v>
      </c>
      <c r="E9" s="83">
        <f t="shared" si="0"/>
        <v>2.1304523424878999E-2</v>
      </c>
      <c r="F9" s="8">
        <f t="shared" si="1"/>
        <v>67500</v>
      </c>
    </row>
    <row r="10" spans="1:6" ht="15" customHeight="1" x14ac:dyDescent="0.3">
      <c r="A10" s="6" t="s">
        <v>57</v>
      </c>
      <c r="B10" s="2" t="s">
        <v>58</v>
      </c>
      <c r="C10" s="23">
        <v>9.9454765751211704E-2</v>
      </c>
      <c r="D10" s="23">
        <v>0.06</v>
      </c>
      <c r="E10" s="83">
        <f t="shared" si="0"/>
        <v>-3.9454765751211707E-2</v>
      </c>
      <c r="F10" s="8">
        <f t="shared" si="1"/>
        <v>32400</v>
      </c>
    </row>
    <row r="11" spans="1:6" ht="15" customHeight="1" x14ac:dyDescent="0.3">
      <c r="A11" s="6" t="s">
        <v>59</v>
      </c>
      <c r="B11" s="2" t="s">
        <v>60</v>
      </c>
      <c r="C11" s="23">
        <v>9.5516962843295694E-2</v>
      </c>
      <c r="D11" s="23">
        <v>9.5000000000000001E-2</v>
      </c>
      <c r="E11" s="83">
        <f t="shared" si="0"/>
        <v>-5.1696284329569298E-4</v>
      </c>
      <c r="F11" s="8">
        <f t="shared" si="1"/>
        <v>51300</v>
      </c>
    </row>
    <row r="12" spans="1:6" ht="15" customHeight="1" x14ac:dyDescent="0.3">
      <c r="A12" s="6" t="s">
        <v>61</v>
      </c>
      <c r="B12" s="2" t="s">
        <v>62</v>
      </c>
      <c r="C12" s="23">
        <v>9.4810177705977397E-2</v>
      </c>
      <c r="D12" s="23">
        <v>0.09</v>
      </c>
      <c r="E12" s="83">
        <f t="shared" si="0"/>
        <v>-4.8101777059774004E-3</v>
      </c>
      <c r="F12" s="8">
        <f t="shared" si="1"/>
        <v>48600</v>
      </c>
    </row>
    <row r="13" spans="1:6" ht="15" customHeight="1" x14ac:dyDescent="0.3">
      <c r="A13" s="6" t="s">
        <v>63</v>
      </c>
      <c r="B13" s="2" t="s">
        <v>64</v>
      </c>
      <c r="C13" s="23">
        <v>4.48303715670436E-2</v>
      </c>
      <c r="D13" s="23">
        <v>0.02</v>
      </c>
      <c r="E13" s="83">
        <f t="shared" si="0"/>
        <v>-2.48303715670436E-2</v>
      </c>
      <c r="F13" s="8">
        <f t="shared" si="1"/>
        <v>10800</v>
      </c>
    </row>
    <row r="14" spans="1:6" ht="15" customHeight="1" x14ac:dyDescent="0.3">
      <c r="A14" s="6" t="s">
        <v>65</v>
      </c>
      <c r="B14" s="2" t="s">
        <v>66</v>
      </c>
      <c r="C14" s="23">
        <v>2.4030694668820698E-2</v>
      </c>
      <c r="D14" s="23">
        <v>4.4999999999999998E-2</v>
      </c>
      <c r="E14" s="83">
        <f t="shared" si="0"/>
        <v>2.09693053311793E-2</v>
      </c>
      <c r="F14" s="8">
        <f t="shared" si="1"/>
        <v>24300</v>
      </c>
    </row>
    <row r="15" spans="1:6" ht="15" customHeight="1" x14ac:dyDescent="0.3">
      <c r="A15" s="6" t="s">
        <v>67</v>
      </c>
      <c r="B15" s="2" t="s">
        <v>68</v>
      </c>
      <c r="C15" s="23">
        <v>2.2920032310177699E-2</v>
      </c>
      <c r="D15" s="23">
        <v>0.01</v>
      </c>
      <c r="E15" s="83">
        <f t="shared" si="0"/>
        <v>-1.2920032310177699E-2</v>
      </c>
      <c r="F15" s="8">
        <f t="shared" si="1"/>
        <v>5400</v>
      </c>
    </row>
    <row r="16" spans="1:6" ht="15" customHeight="1" x14ac:dyDescent="0.3">
      <c r="A16" s="6" t="s">
        <v>69</v>
      </c>
      <c r="B16" s="2" t="s">
        <v>70</v>
      </c>
      <c r="C16" s="23">
        <v>2.24151857835218E-2</v>
      </c>
      <c r="D16" s="23">
        <v>1.4999999999999999E-2</v>
      </c>
      <c r="E16" s="83">
        <f t="shared" si="0"/>
        <v>-7.4151857835218007E-3</v>
      </c>
      <c r="F16" s="8">
        <f t="shared" si="1"/>
        <v>8100</v>
      </c>
    </row>
    <row r="17" spans="1:6" ht="15" customHeight="1" x14ac:dyDescent="0.3">
      <c r="A17" s="6" t="s">
        <v>71</v>
      </c>
      <c r="B17" s="2" t="s">
        <v>72</v>
      </c>
      <c r="C17" s="23">
        <v>2.23142164781906E-2</v>
      </c>
      <c r="D17" s="23">
        <v>0.01</v>
      </c>
      <c r="E17" s="83">
        <f t="shared" si="0"/>
        <v>-1.2314216478190599E-2</v>
      </c>
      <c r="F17" s="8">
        <f t="shared" si="1"/>
        <v>5400</v>
      </c>
    </row>
    <row r="18" spans="1:6" ht="15" customHeight="1" x14ac:dyDescent="0.3">
      <c r="A18" s="6" t="s">
        <v>16</v>
      </c>
      <c r="C18" s="30">
        <f>SUM(C7:C17)</f>
        <v>1.0000000000000002</v>
      </c>
      <c r="D18" s="30">
        <f>SUM(D7:D17)</f>
        <v>1</v>
      </c>
      <c r="E18" s="84">
        <f>SUM(E7:E17)</f>
        <v>-1.9949319973733282E-16</v>
      </c>
      <c r="F18" s="15">
        <f>SUM(F7:F17)</f>
        <v>540000</v>
      </c>
    </row>
    <row r="19" spans="1:6" ht="12" customHeight="1" x14ac:dyDescent="0.25"/>
    <row r="20" spans="1:6" ht="15" customHeight="1" x14ac:dyDescent="0.25">
      <c r="A20" s="3" t="s">
        <v>73</v>
      </c>
    </row>
    <row r="21" spans="1:6" ht="15" customHeight="1" x14ac:dyDescent="0.25">
      <c r="A21" s="3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zoomScaleNormal="100" workbookViewId="0">
      <selection activeCell="A22" sqref="A22"/>
    </sheetView>
  </sheetViews>
  <sheetFormatPr defaultColWidth="8.6328125" defaultRowHeight="12.5" x14ac:dyDescent="0.25"/>
  <cols>
    <col min="1" max="1" width="38" style="2" customWidth="1"/>
    <col min="2" max="2" width="22" style="2" customWidth="1"/>
    <col min="3" max="3" width="24" style="2" customWidth="1"/>
    <col min="4" max="4" width="62" style="2" customWidth="1"/>
    <col min="5" max="5" width="20" style="2" customWidth="1"/>
    <col min="6" max="16384" width="8.6328125" style="2"/>
  </cols>
  <sheetData>
    <row r="1" spans="1:4" ht="18" customHeight="1" x14ac:dyDescent="0.4">
      <c r="A1" s="1" t="s">
        <v>75</v>
      </c>
    </row>
    <row r="2" spans="1:4" ht="12" customHeight="1" x14ac:dyDescent="0.25">
      <c r="A2" s="28" t="s">
        <v>76</v>
      </c>
    </row>
    <row r="3" spans="1:4" ht="12" customHeight="1" x14ac:dyDescent="0.25">
      <c r="A3" s="3" t="s">
        <v>77</v>
      </c>
    </row>
    <row r="4" spans="1:4" ht="12" customHeight="1" x14ac:dyDescent="0.25">
      <c r="A4" s="3"/>
    </row>
    <row r="5" spans="1:4" ht="12" customHeight="1" x14ac:dyDescent="0.25"/>
    <row r="6" spans="1:4" ht="13.5" customHeight="1" x14ac:dyDescent="0.3">
      <c r="A6" s="73" t="s">
        <v>78</v>
      </c>
    </row>
    <row r="7" spans="1:4" ht="12" customHeight="1" x14ac:dyDescent="0.25">
      <c r="A7" s="74" t="s">
        <v>79</v>
      </c>
      <c r="B7" s="74" t="s">
        <v>80</v>
      </c>
      <c r="C7" s="74" t="s">
        <v>81</v>
      </c>
    </row>
    <row r="8" spans="1:4" ht="33" customHeight="1" x14ac:dyDescent="0.25">
      <c r="A8" s="75" t="s">
        <v>82</v>
      </c>
      <c r="B8" s="76">
        <v>5.2429000000000003E-2</v>
      </c>
      <c r="C8" s="77" t="s">
        <v>83</v>
      </c>
    </row>
    <row r="9" spans="1:4" ht="33" customHeight="1" x14ac:dyDescent="0.25">
      <c r="A9" s="75" t="s">
        <v>84</v>
      </c>
      <c r="B9" s="76">
        <v>2.5000000000000001E-2</v>
      </c>
      <c r="C9" s="77" t="s">
        <v>85</v>
      </c>
    </row>
    <row r="10" spans="1:4" ht="21.75" customHeight="1" x14ac:dyDescent="0.3">
      <c r="A10" s="78" t="s">
        <v>86</v>
      </c>
      <c r="B10" s="79">
        <f>B8+B9</f>
        <v>7.7428999999999998E-2</v>
      </c>
      <c r="C10" s="77" t="s">
        <v>87</v>
      </c>
    </row>
    <row r="11" spans="1:4" ht="12" customHeight="1" x14ac:dyDescent="0.25"/>
    <row r="12" spans="1:4" ht="13.5" customHeight="1" x14ac:dyDescent="0.3">
      <c r="A12" s="73"/>
    </row>
    <row r="13" spans="1:4" ht="12" customHeight="1" x14ac:dyDescent="0.25">
      <c r="A13" s="80"/>
      <c r="B13" s="80"/>
      <c r="C13" s="80"/>
      <c r="D13" s="80"/>
    </row>
    <row r="14" spans="1:4" ht="22.5" customHeight="1" x14ac:dyDescent="0.25">
      <c r="A14" s="81"/>
      <c r="B14" s="77"/>
      <c r="C14" s="77"/>
      <c r="D14" s="77"/>
    </row>
    <row r="15" spans="1:4" ht="12" customHeight="1" x14ac:dyDescent="0.25">
      <c r="A15" s="81"/>
      <c r="B15" s="77"/>
      <c r="C15" s="77"/>
      <c r="D15" s="77"/>
    </row>
    <row r="16" spans="1:4" ht="12" customHeight="1" x14ac:dyDescent="0.25">
      <c r="A16" s="81"/>
      <c r="B16" s="77"/>
      <c r="C16" s="77"/>
      <c r="D16" s="77"/>
    </row>
    <row r="17" spans="1:4" ht="12" customHeight="1" x14ac:dyDescent="0.25">
      <c r="A17" s="81"/>
      <c r="B17" s="77"/>
      <c r="C17" s="77"/>
      <c r="D17" s="77"/>
    </row>
    <row r="18" spans="1:4" ht="12" customHeight="1" x14ac:dyDescent="0.25">
      <c r="A18" s="81"/>
      <c r="B18" s="77"/>
      <c r="C18" s="77"/>
      <c r="D18" s="77"/>
    </row>
    <row r="19" spans="1:4" ht="22.5" customHeight="1" x14ac:dyDescent="0.25">
      <c r="A19" s="81"/>
      <c r="B19" s="81"/>
      <c r="C19" s="81"/>
      <c r="D19" s="81"/>
    </row>
    <row r="20" spans="1:4" ht="12" customHeight="1" x14ac:dyDescent="0.25"/>
    <row r="21" spans="1:4" ht="12" customHeight="1" x14ac:dyDescent="0.25">
      <c r="A21" s="28" t="s">
        <v>88</v>
      </c>
    </row>
    <row r="22" spans="1:4" ht="12" customHeight="1" x14ac:dyDescent="0.25">
      <c r="A22" s="3" t="s">
        <v>89</v>
      </c>
    </row>
    <row r="23" spans="1:4" ht="12" customHeight="1" x14ac:dyDescent="0.25">
      <c r="A23" s="3" t="s">
        <v>90</v>
      </c>
    </row>
    <row r="24" spans="1:4" ht="12" customHeight="1" x14ac:dyDescent="0.25">
      <c r="A24" s="3" t="s">
        <v>91</v>
      </c>
    </row>
    <row r="25" spans="1:4" ht="12" customHeight="1" x14ac:dyDescent="0.25"/>
    <row r="26" spans="1:4" ht="12" customHeight="1" x14ac:dyDescent="0.25">
      <c r="A26" s="28" t="s">
        <v>92</v>
      </c>
    </row>
    <row r="27" spans="1:4" ht="12" customHeight="1" x14ac:dyDescent="0.25">
      <c r="A27" s="3" t="s">
        <v>93</v>
      </c>
    </row>
    <row r="28" spans="1:4" ht="12" customHeight="1" x14ac:dyDescent="0.25">
      <c r="A28" s="3" t="s">
        <v>94</v>
      </c>
    </row>
    <row r="29" spans="1:4" ht="12" customHeight="1" x14ac:dyDescent="0.25">
      <c r="A29" s="3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20"/>
  <sheetViews>
    <sheetView zoomScale="85" zoomScaleNormal="85" workbookViewId="0">
      <pane xSplit="1" topLeftCell="B1" activePane="topRight" state="frozen"/>
      <selection activeCell="A36" sqref="A36"/>
      <selection pane="topRight" activeCell="A20" sqref="A20"/>
    </sheetView>
  </sheetViews>
  <sheetFormatPr defaultColWidth="9.1796875" defaultRowHeight="15" customHeight="1" x14ac:dyDescent="0.25"/>
  <cols>
    <col min="1" max="1" width="51" style="2" customWidth="1"/>
    <col min="2" max="2" width="21.26953125" style="2" customWidth="1"/>
    <col min="3" max="3" width="7.36328125" style="2" customWidth="1"/>
    <col min="4" max="4" width="18" style="2" customWidth="1"/>
    <col min="5" max="5" width="27.1796875" style="2" customWidth="1"/>
    <col min="6" max="6" width="36.453125" style="2" customWidth="1"/>
    <col min="7" max="7" width="19" style="2" customWidth="1"/>
    <col min="8" max="8" width="19.7265625" style="2" customWidth="1"/>
    <col min="9" max="9" width="19.26953125" style="2" customWidth="1"/>
    <col min="10" max="10" width="26.453125" style="2" customWidth="1"/>
    <col min="11" max="16384" width="9.1796875" style="2"/>
  </cols>
  <sheetData>
    <row r="1" spans="1:10" ht="15.75" customHeight="1" x14ac:dyDescent="0.4">
      <c r="A1" s="1" t="s">
        <v>96</v>
      </c>
      <c r="B1" s="35"/>
      <c r="C1" s="35"/>
      <c r="D1" s="35"/>
      <c r="E1" s="35" t="s">
        <v>97</v>
      </c>
      <c r="F1" s="35"/>
      <c r="G1" s="35"/>
      <c r="H1" s="36"/>
      <c r="I1" s="36"/>
      <c r="J1" s="37"/>
    </row>
    <row r="2" spans="1:10" ht="15.75" customHeight="1" x14ac:dyDescent="0.25">
      <c r="A2" s="5" t="s">
        <v>98</v>
      </c>
      <c r="B2" s="5" t="s">
        <v>99</v>
      </c>
      <c r="C2" s="5" t="s">
        <v>100</v>
      </c>
      <c r="D2" s="38"/>
      <c r="E2" s="5" t="s">
        <v>98</v>
      </c>
      <c r="F2" s="5"/>
      <c r="G2" s="5" t="s">
        <v>100</v>
      </c>
      <c r="H2" s="36"/>
      <c r="I2" s="36"/>
      <c r="J2" s="37"/>
    </row>
    <row r="3" spans="1:10" ht="15.75" customHeight="1" x14ac:dyDescent="0.3">
      <c r="A3" s="39" t="s">
        <v>101</v>
      </c>
      <c r="B3" s="40">
        <v>46174</v>
      </c>
      <c r="C3" s="41">
        <v>332.91595458984398</v>
      </c>
      <c r="D3" s="38"/>
      <c r="E3" s="42" t="s">
        <v>102</v>
      </c>
      <c r="F3" s="38"/>
      <c r="G3" s="43"/>
      <c r="H3" s="44" t="s">
        <v>10</v>
      </c>
      <c r="I3" s="45"/>
      <c r="J3" s="46"/>
    </row>
    <row r="4" spans="1:10" ht="15.75" customHeight="1" x14ac:dyDescent="0.25">
      <c r="A4" s="47" t="s">
        <v>103</v>
      </c>
      <c r="B4" s="48">
        <v>46203</v>
      </c>
      <c r="C4" s="49">
        <v>331.42999267578102</v>
      </c>
      <c r="D4" s="50"/>
      <c r="E4" s="39" t="s">
        <v>104</v>
      </c>
      <c r="F4" s="51" t="s">
        <v>105</v>
      </c>
      <c r="G4" s="41">
        <v>540000</v>
      </c>
      <c r="H4" s="39" t="s">
        <v>106</v>
      </c>
      <c r="I4" s="51" t="s">
        <v>105</v>
      </c>
      <c r="J4" s="41">
        <v>210000</v>
      </c>
    </row>
    <row r="5" spans="1:10" ht="15.75" customHeight="1" x14ac:dyDescent="0.3">
      <c r="A5" s="44" t="s">
        <v>100</v>
      </c>
      <c r="B5" s="45"/>
      <c r="C5" s="52">
        <f>C4/C3-1</f>
        <v>-4.4634746204749165E-3</v>
      </c>
      <c r="D5" s="37"/>
      <c r="E5" s="39" t="s">
        <v>104</v>
      </c>
      <c r="F5" s="51" t="s">
        <v>107</v>
      </c>
      <c r="G5" s="41">
        <v>545189.9</v>
      </c>
      <c r="H5" s="39" t="s">
        <v>106</v>
      </c>
      <c r="I5" s="51" t="s">
        <v>107</v>
      </c>
      <c r="J5" s="53">
        <v>210642.33</v>
      </c>
    </row>
    <row r="6" spans="1:10" ht="15.75" customHeight="1" x14ac:dyDescent="0.3">
      <c r="A6" s="47"/>
      <c r="B6" s="38"/>
      <c r="C6" s="43"/>
      <c r="D6" s="38"/>
      <c r="E6" s="44" t="s">
        <v>100</v>
      </c>
      <c r="F6" s="45"/>
      <c r="G6" s="52">
        <f>IFERROR((G5)/G4-1,0)</f>
        <v>9.6109259259260504E-3</v>
      </c>
      <c r="H6" s="44" t="s">
        <v>100</v>
      </c>
      <c r="I6" s="45"/>
      <c r="J6" s="54">
        <f>(J5)/J4-1</f>
        <v>3.0587142857141369E-3</v>
      </c>
    </row>
    <row r="7" spans="1:10" ht="15.75" customHeight="1" x14ac:dyDescent="0.25">
      <c r="A7" s="39" t="s">
        <v>108</v>
      </c>
      <c r="B7" s="40">
        <v>46174</v>
      </c>
      <c r="C7" s="41">
        <v>76.082656860351605</v>
      </c>
      <c r="D7" s="38"/>
      <c r="E7" s="47"/>
      <c r="F7" s="38"/>
      <c r="G7" s="43"/>
    </row>
    <row r="8" spans="1:10" ht="15.75" customHeight="1" x14ac:dyDescent="0.3">
      <c r="A8" s="47" t="s">
        <v>109</v>
      </c>
      <c r="B8" s="48">
        <v>46203</v>
      </c>
      <c r="C8" s="41">
        <v>76.110000610351605</v>
      </c>
      <c r="D8" s="38"/>
      <c r="E8" s="42" t="s">
        <v>110</v>
      </c>
      <c r="F8" s="38"/>
      <c r="G8" s="55"/>
      <c r="H8" s="42" t="s">
        <v>111</v>
      </c>
      <c r="I8" s="38"/>
      <c r="J8" s="56"/>
    </row>
    <row r="9" spans="1:10" ht="15.75" customHeight="1" x14ac:dyDescent="0.3">
      <c r="A9" s="44" t="s">
        <v>100</v>
      </c>
      <c r="B9" s="45"/>
      <c r="C9" s="52">
        <f>C8/C7-1</f>
        <v>3.5939530936968112E-4</v>
      </c>
      <c r="D9" s="38"/>
      <c r="E9" s="39" t="s">
        <v>112</v>
      </c>
      <c r="F9" s="51" t="s">
        <v>105</v>
      </c>
      <c r="G9" s="41">
        <v>120000</v>
      </c>
      <c r="H9" s="39" t="s">
        <v>111</v>
      </c>
      <c r="I9" s="38"/>
      <c r="J9" s="41">
        <v>0</v>
      </c>
    </row>
    <row r="10" spans="1:10" ht="15.75" customHeight="1" x14ac:dyDescent="0.3">
      <c r="A10" s="38" t="s">
        <v>113</v>
      </c>
      <c r="B10" s="38"/>
      <c r="C10" s="52">
        <f>(5/7*C5+2/7*C9)</f>
        <v>-3.08551178337646E-3</v>
      </c>
      <c r="D10" s="38"/>
      <c r="E10" s="39" t="s">
        <v>112</v>
      </c>
      <c r="F10" s="51" t="s">
        <v>107</v>
      </c>
      <c r="G10" s="41">
        <v>117640.93</v>
      </c>
      <c r="H10" s="47"/>
      <c r="I10" s="38"/>
      <c r="J10" s="55"/>
    </row>
    <row r="11" spans="1:10" ht="15.75" customHeight="1" x14ac:dyDescent="0.3">
      <c r="A11" s="47"/>
      <c r="B11" s="38"/>
      <c r="C11" s="55"/>
      <c r="D11" s="38"/>
      <c r="E11" s="44" t="s">
        <v>100</v>
      </c>
      <c r="F11" s="45"/>
      <c r="G11" s="52">
        <f>IFERROR(G10/G9-1,0)</f>
        <v>-1.9658916666666748E-2</v>
      </c>
      <c r="H11" s="2" t="s">
        <v>114</v>
      </c>
      <c r="I11" s="2" t="s">
        <v>105</v>
      </c>
      <c r="J11" s="57">
        <v>40000</v>
      </c>
    </row>
    <row r="12" spans="1:10" ht="15.75" customHeight="1" x14ac:dyDescent="0.25">
      <c r="A12" s="39" t="s">
        <v>115</v>
      </c>
      <c r="B12" s="40">
        <v>46174</v>
      </c>
      <c r="C12" s="41">
        <v>98.350006103515597</v>
      </c>
      <c r="D12" s="38"/>
      <c r="E12" s="47"/>
      <c r="F12" s="38"/>
      <c r="G12" s="55"/>
      <c r="I12" s="2" t="s">
        <v>107</v>
      </c>
      <c r="J12" s="57">
        <v>40105.03</v>
      </c>
    </row>
    <row r="13" spans="1:10" ht="15.75" customHeight="1" x14ac:dyDescent="0.25">
      <c r="A13" s="47" t="s">
        <v>109</v>
      </c>
      <c r="B13" s="48">
        <v>46203</v>
      </c>
      <c r="C13" s="41">
        <v>98.649002075195298</v>
      </c>
      <c r="D13" s="38"/>
      <c r="E13" s="39" t="s">
        <v>116</v>
      </c>
      <c r="F13" s="51" t="s">
        <v>105</v>
      </c>
      <c r="G13" s="41">
        <v>90000</v>
      </c>
      <c r="J13" s="58">
        <f>J12/J11-1</f>
        <v>2.6257499999999823E-3</v>
      </c>
    </row>
    <row r="14" spans="1:10" ht="15.75" customHeight="1" x14ac:dyDescent="0.3">
      <c r="A14" s="44" t="s">
        <v>100</v>
      </c>
      <c r="B14" s="59"/>
      <c r="C14" s="52">
        <f>C13/C12-1</f>
        <v>3.0401215365964962E-3</v>
      </c>
      <c r="D14" s="38"/>
      <c r="E14" s="39" t="s">
        <v>116</v>
      </c>
      <c r="F14" s="51" t="s">
        <v>107</v>
      </c>
      <c r="G14" s="41">
        <v>90489.58</v>
      </c>
    </row>
    <row r="15" spans="1:10" ht="15.75" customHeight="1" x14ac:dyDescent="0.3">
      <c r="A15" s="47"/>
      <c r="B15" s="38"/>
      <c r="C15" s="60"/>
      <c r="D15" s="38"/>
      <c r="E15" s="44" t="s">
        <v>100</v>
      </c>
      <c r="F15" s="45"/>
      <c r="G15" s="52">
        <f>IFERROR(G14/G13-1,0)</f>
        <v>5.4397777777777101E-3</v>
      </c>
      <c r="H15" s="47" t="s">
        <v>117</v>
      </c>
      <c r="I15" s="38"/>
      <c r="J15" s="61">
        <f>G4+G9+G13+J4+J11</f>
        <v>1000000</v>
      </c>
    </row>
    <row r="16" spans="1:10" ht="15.75" customHeight="1" x14ac:dyDescent="0.3">
      <c r="A16" s="62" t="s">
        <v>118</v>
      </c>
      <c r="B16" s="63"/>
      <c r="C16" s="64">
        <f>(C5*0.5)+(C9*0.2)+(C14*0.3)</f>
        <v>-1.2478217873845734E-3</v>
      </c>
      <c r="D16" s="38"/>
      <c r="E16" s="42" t="s">
        <v>119</v>
      </c>
      <c r="F16" s="38"/>
      <c r="G16" s="65">
        <f>(G10+G14)/(G9+G13)-1</f>
        <v>-8.9023333333332344E-3</v>
      </c>
      <c r="H16" s="47" t="s">
        <v>120</v>
      </c>
      <c r="I16" s="38"/>
      <c r="J16" s="66">
        <f>G5+G10+G14+J5+J9+J12</f>
        <v>1004067.77</v>
      </c>
    </row>
    <row r="17" spans="1:10" ht="15.75" customHeight="1" x14ac:dyDescent="0.3">
      <c r="A17" s="36"/>
      <c r="C17" s="37"/>
      <c r="D17" s="38"/>
      <c r="E17" s="67" t="s">
        <v>121</v>
      </c>
      <c r="F17" s="68"/>
      <c r="G17" s="69">
        <f>(G5+G10+G14)/(G4+G9+G13)-1</f>
        <v>4.4272133333334018E-3</v>
      </c>
      <c r="H17" s="62" t="s">
        <v>122</v>
      </c>
      <c r="I17" s="70"/>
      <c r="J17" s="64">
        <f>J16/J15-1</f>
        <v>4.0677700000000261E-3</v>
      </c>
    </row>
    <row r="18" spans="1:10" ht="15.75" customHeight="1" x14ac:dyDescent="0.25">
      <c r="A18" s="38"/>
      <c r="B18" s="38"/>
      <c r="C18" s="37"/>
      <c r="D18" s="38"/>
      <c r="H18" s="71" t="s">
        <v>123</v>
      </c>
      <c r="I18" s="70"/>
      <c r="J18" s="72">
        <f>J17-C16</f>
        <v>5.3155917873845999E-3</v>
      </c>
    </row>
    <row r="19" spans="1:10" ht="12" customHeight="1" x14ac:dyDescent="0.25"/>
    <row r="20" spans="1:10" ht="15" customHeight="1" x14ac:dyDescent="0.25">
      <c r="A20" s="2" t="s">
        <v>124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zoomScaleNormal="100" workbookViewId="0">
      <selection activeCell="C23" sqref="C23"/>
    </sheetView>
  </sheetViews>
  <sheetFormatPr defaultColWidth="8.6328125" defaultRowHeight="12.5" x14ac:dyDescent="0.25"/>
  <cols>
    <col min="1" max="1" width="5" style="2" customWidth="1"/>
    <col min="2" max="2" width="44" style="2" customWidth="1"/>
    <col min="3" max="3" width="26" style="2" customWidth="1"/>
    <col min="4" max="4" width="58" style="2" customWidth="1"/>
    <col min="5" max="16384" width="8.6328125" style="2"/>
  </cols>
  <sheetData>
    <row r="1" spans="1:4" ht="15.75" customHeight="1" x14ac:dyDescent="0.4">
      <c r="A1" s="1" t="s">
        <v>125</v>
      </c>
    </row>
    <row r="2" spans="1:4" ht="15" customHeight="1" x14ac:dyDescent="0.25">
      <c r="A2" s="3" t="s">
        <v>126</v>
      </c>
    </row>
    <row r="3" spans="1:4" ht="12" customHeight="1" x14ac:dyDescent="0.25"/>
    <row r="4" spans="1:4" ht="15" customHeight="1" x14ac:dyDescent="0.25">
      <c r="A4" s="5" t="s">
        <v>127</v>
      </c>
      <c r="B4" s="5" t="s">
        <v>128</v>
      </c>
      <c r="C4" s="5" t="s">
        <v>129</v>
      </c>
      <c r="D4" s="5" t="s">
        <v>130</v>
      </c>
    </row>
    <row r="5" spans="1:4" ht="15" customHeight="1" x14ac:dyDescent="0.3">
      <c r="A5" s="2" t="s">
        <v>131</v>
      </c>
      <c r="B5" s="6" t="s">
        <v>132</v>
      </c>
      <c r="C5" s="2" t="s">
        <v>133</v>
      </c>
      <c r="D5" s="34" t="s">
        <v>134</v>
      </c>
    </row>
    <row r="6" spans="1:4" ht="15" customHeight="1" x14ac:dyDescent="0.3">
      <c r="A6" s="2" t="s">
        <v>135</v>
      </c>
      <c r="B6" s="6" t="s">
        <v>136</v>
      </c>
      <c r="C6" s="2" t="s">
        <v>137</v>
      </c>
      <c r="D6" s="34" t="s">
        <v>138</v>
      </c>
    </row>
    <row r="7" spans="1:4" ht="15" customHeight="1" x14ac:dyDescent="0.3">
      <c r="A7" s="2" t="s">
        <v>139</v>
      </c>
      <c r="B7" s="6" t="s">
        <v>140</v>
      </c>
      <c r="C7" s="2" t="s">
        <v>141</v>
      </c>
      <c r="D7" s="34" t="s">
        <v>142</v>
      </c>
    </row>
    <row r="8" spans="1:4" ht="23.25" customHeight="1" x14ac:dyDescent="0.3">
      <c r="A8" s="2" t="s">
        <v>143</v>
      </c>
      <c r="B8" s="6" t="s">
        <v>144</v>
      </c>
      <c r="C8" s="2" t="s">
        <v>145</v>
      </c>
      <c r="D8" s="34" t="s">
        <v>146</v>
      </c>
    </row>
    <row r="9" spans="1:4" ht="15" customHeight="1" x14ac:dyDescent="0.3">
      <c r="A9" s="2" t="s">
        <v>147</v>
      </c>
      <c r="B9" s="6" t="s">
        <v>148</v>
      </c>
      <c r="C9" s="2" t="s">
        <v>145</v>
      </c>
      <c r="D9" s="34" t="s">
        <v>149</v>
      </c>
    </row>
    <row r="10" spans="1:4" ht="15" customHeight="1" x14ac:dyDescent="0.3">
      <c r="A10" s="2" t="s">
        <v>150</v>
      </c>
      <c r="B10" s="6" t="s">
        <v>151</v>
      </c>
      <c r="C10" s="2" t="s">
        <v>145</v>
      </c>
      <c r="D10" s="34" t="s">
        <v>152</v>
      </c>
    </row>
    <row r="11" spans="1:4" ht="15" customHeight="1" x14ac:dyDescent="0.3">
      <c r="A11" s="2" t="s">
        <v>153</v>
      </c>
      <c r="B11" s="6" t="s">
        <v>154</v>
      </c>
      <c r="C11" s="2" t="s">
        <v>145</v>
      </c>
      <c r="D11" s="34" t="s">
        <v>155</v>
      </c>
    </row>
    <row r="12" spans="1:4" ht="23.25" customHeight="1" x14ac:dyDescent="0.3">
      <c r="A12" s="2" t="s">
        <v>156</v>
      </c>
      <c r="B12" s="6" t="s">
        <v>157</v>
      </c>
      <c r="C12" s="2" t="s">
        <v>158</v>
      </c>
      <c r="D12" s="34" t="s">
        <v>159</v>
      </c>
    </row>
    <row r="13" spans="1:4" ht="15" customHeight="1" x14ac:dyDescent="0.3">
      <c r="A13" s="2" t="s">
        <v>160</v>
      </c>
      <c r="B13" s="6" t="s">
        <v>161</v>
      </c>
      <c r="C13" s="2" t="s">
        <v>162</v>
      </c>
      <c r="D13" s="34" t="s">
        <v>163</v>
      </c>
    </row>
    <row r="14" spans="1:4" ht="15" customHeight="1" x14ac:dyDescent="0.3">
      <c r="A14" s="2" t="s">
        <v>164</v>
      </c>
      <c r="B14" s="6" t="s">
        <v>165</v>
      </c>
      <c r="C14" s="2" t="s">
        <v>145</v>
      </c>
      <c r="D14" s="34" t="s">
        <v>166</v>
      </c>
    </row>
    <row r="15" spans="1:4" ht="23.25" customHeight="1" x14ac:dyDescent="0.3">
      <c r="A15" s="2" t="s">
        <v>167</v>
      </c>
      <c r="B15" s="6" t="s">
        <v>168</v>
      </c>
      <c r="C15" s="2" t="s">
        <v>169</v>
      </c>
      <c r="D15" s="34" t="s">
        <v>170</v>
      </c>
    </row>
    <row r="16" spans="1:4" ht="12" customHeight="1" x14ac:dyDescent="0.25"/>
    <row r="17" spans="1:4" ht="15" customHeight="1" x14ac:dyDescent="0.3">
      <c r="A17" s="20" t="s">
        <v>171</v>
      </c>
    </row>
    <row r="18" spans="1:4" ht="15" customHeight="1" x14ac:dyDescent="0.3">
      <c r="A18" s="2" t="s">
        <v>172</v>
      </c>
      <c r="B18" s="6" t="s">
        <v>173</v>
      </c>
      <c r="C18" s="2" t="s">
        <v>174</v>
      </c>
      <c r="D18" s="2" t="s">
        <v>175</v>
      </c>
    </row>
    <row r="19" spans="1:4" ht="15" customHeight="1" x14ac:dyDescent="0.3">
      <c r="A19" s="2" t="s">
        <v>176</v>
      </c>
      <c r="B19" s="6" t="s">
        <v>177</v>
      </c>
      <c r="C19" s="2" t="s">
        <v>178</v>
      </c>
      <c r="D19" s="2" t="s">
        <v>179</v>
      </c>
    </row>
    <row r="20" spans="1:4" ht="15" customHeight="1" x14ac:dyDescent="0.3">
      <c r="A20" s="2" t="s">
        <v>180</v>
      </c>
      <c r="B20" s="6" t="s">
        <v>181</v>
      </c>
      <c r="C20" s="2" t="s">
        <v>182</v>
      </c>
      <c r="D20" s="2" t="s">
        <v>183</v>
      </c>
    </row>
    <row r="21" spans="1:4" ht="15" customHeight="1" x14ac:dyDescent="0.3">
      <c r="A21" s="2" t="s">
        <v>184</v>
      </c>
      <c r="B21" s="6" t="s">
        <v>185</v>
      </c>
      <c r="C21" s="2" t="s">
        <v>186</v>
      </c>
      <c r="D21" s="2" t="s">
        <v>187</v>
      </c>
    </row>
    <row r="22" spans="1:4" ht="12" customHeight="1" x14ac:dyDescent="0.25"/>
    <row r="23" spans="1:4" ht="15" customHeight="1" x14ac:dyDescent="0.25">
      <c r="A23" s="3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Normal="100" workbookViewId="0">
      <selection activeCell="A36" sqref="A36"/>
    </sheetView>
  </sheetViews>
  <sheetFormatPr defaultColWidth="8.6328125" defaultRowHeight="12.5" x14ac:dyDescent="0.25"/>
  <cols>
    <col min="1" max="1" width="24" style="2" customWidth="1"/>
    <col min="2" max="2" width="34" style="2" customWidth="1"/>
    <col min="3" max="3" width="28" style="2" customWidth="1"/>
    <col min="4" max="5" width="26" style="2" customWidth="1"/>
    <col min="6" max="16384" width="8.6328125" style="2"/>
  </cols>
  <sheetData>
    <row r="1" spans="1:5" ht="15.75" customHeight="1" x14ac:dyDescent="0.4">
      <c r="A1" s="1" t="s">
        <v>189</v>
      </c>
    </row>
    <row r="2" spans="1:5" ht="12" customHeight="1" x14ac:dyDescent="0.25"/>
    <row r="3" spans="1:5" ht="15" customHeight="1" x14ac:dyDescent="0.25">
      <c r="A3" s="5" t="s">
        <v>128</v>
      </c>
      <c r="B3" s="5" t="s">
        <v>190</v>
      </c>
      <c r="C3" s="5" t="s">
        <v>191</v>
      </c>
      <c r="D3" s="5" t="s">
        <v>192</v>
      </c>
      <c r="E3" s="5" t="s">
        <v>193</v>
      </c>
    </row>
    <row r="4" spans="1:5" ht="15" customHeight="1" x14ac:dyDescent="0.25">
      <c r="A4" s="33" t="s">
        <v>194</v>
      </c>
      <c r="B4" s="31" t="s">
        <v>195</v>
      </c>
      <c r="C4" s="31" t="s">
        <v>196</v>
      </c>
      <c r="D4" s="31" t="s">
        <v>197</v>
      </c>
      <c r="E4" s="31" t="s">
        <v>198</v>
      </c>
    </row>
    <row r="5" spans="1:5" ht="15" customHeight="1" x14ac:dyDescent="0.25">
      <c r="A5" s="33" t="s">
        <v>199</v>
      </c>
      <c r="B5" s="31" t="s">
        <v>200</v>
      </c>
      <c r="C5" s="31" t="s">
        <v>201</v>
      </c>
      <c r="D5" s="31" t="s">
        <v>202</v>
      </c>
      <c r="E5" s="31" t="s">
        <v>203</v>
      </c>
    </row>
    <row r="6" spans="1:5" ht="15" customHeight="1" x14ac:dyDescent="0.25">
      <c r="A6" s="33" t="s">
        <v>204</v>
      </c>
      <c r="B6" s="31" t="s">
        <v>205</v>
      </c>
      <c r="C6" s="31" t="s">
        <v>206</v>
      </c>
      <c r="D6" s="31" t="s">
        <v>207</v>
      </c>
      <c r="E6" s="31" t="s">
        <v>207</v>
      </c>
    </row>
    <row r="7" spans="1:5" ht="23.25" customHeight="1" x14ac:dyDescent="0.25">
      <c r="A7" s="33" t="s">
        <v>208</v>
      </c>
      <c r="B7" s="31" t="s">
        <v>209</v>
      </c>
      <c r="C7" s="31" t="s">
        <v>210</v>
      </c>
      <c r="D7" s="31" t="s">
        <v>211</v>
      </c>
      <c r="E7" s="31" t="s">
        <v>212</v>
      </c>
    </row>
    <row r="8" spans="1:5" ht="26.25" customHeight="1" x14ac:dyDescent="0.25">
      <c r="A8" s="33" t="s">
        <v>213</v>
      </c>
      <c r="B8" s="31" t="s">
        <v>214</v>
      </c>
      <c r="C8" s="31" t="s">
        <v>215</v>
      </c>
      <c r="D8" s="31" t="s">
        <v>216</v>
      </c>
      <c r="E8" s="31" t="s">
        <v>217</v>
      </c>
    </row>
    <row r="9" spans="1:5" ht="15" customHeight="1" x14ac:dyDescent="0.25">
      <c r="A9" s="33" t="s">
        <v>218</v>
      </c>
      <c r="B9" s="31" t="s">
        <v>219</v>
      </c>
      <c r="C9" s="31" t="s">
        <v>220</v>
      </c>
      <c r="D9" s="31" t="s">
        <v>221</v>
      </c>
      <c r="E9" s="31" t="s">
        <v>222</v>
      </c>
    </row>
    <row r="10" spans="1:5" ht="26.25" customHeight="1" x14ac:dyDescent="0.25">
      <c r="A10" s="33" t="s">
        <v>223</v>
      </c>
      <c r="B10" s="31" t="s">
        <v>224</v>
      </c>
      <c r="C10" s="31" t="s">
        <v>225</v>
      </c>
      <c r="D10" s="31" t="s">
        <v>225</v>
      </c>
      <c r="E10" s="31" t="s">
        <v>225</v>
      </c>
    </row>
    <row r="11" spans="1:5" ht="12" customHeight="1" x14ac:dyDescent="0.25"/>
    <row r="12" spans="1:5" ht="15" customHeight="1" x14ac:dyDescent="0.25">
      <c r="A12" s="3" t="s">
        <v>226</v>
      </c>
    </row>
    <row r="13" spans="1:5" ht="15" customHeight="1" x14ac:dyDescent="0.25">
      <c r="A13" s="3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zoomScaleNormal="100" workbookViewId="0">
      <selection activeCell="A36" sqref="A36"/>
    </sheetView>
  </sheetViews>
  <sheetFormatPr defaultColWidth="8.6328125" defaultRowHeight="12.5" x14ac:dyDescent="0.25"/>
  <cols>
    <col min="1" max="1" width="44" style="2" customWidth="1"/>
    <col min="2" max="2" width="14" style="2" customWidth="1"/>
    <col min="3" max="3" width="13" style="2" customWidth="1"/>
    <col min="4" max="4" width="20" style="2" customWidth="1"/>
    <col min="5" max="5" width="15" style="2" customWidth="1"/>
    <col min="6" max="6" width="70" style="2" customWidth="1"/>
    <col min="7" max="16384" width="8.6328125" style="2"/>
  </cols>
  <sheetData>
    <row r="1" spans="1:6" ht="15.75" customHeight="1" x14ac:dyDescent="0.4">
      <c r="A1" s="1" t="s">
        <v>228</v>
      </c>
    </row>
    <row r="2" spans="1:6" ht="15" customHeight="1" x14ac:dyDescent="0.25">
      <c r="A2" s="3" t="s">
        <v>229</v>
      </c>
    </row>
    <row r="3" spans="1:6" ht="12" customHeight="1" x14ac:dyDescent="0.25"/>
    <row r="4" spans="1:6" ht="15" customHeight="1" x14ac:dyDescent="0.25">
      <c r="A4" s="5" t="s">
        <v>230</v>
      </c>
      <c r="B4" s="5" t="s">
        <v>231</v>
      </c>
      <c r="C4" s="5" t="s">
        <v>232</v>
      </c>
      <c r="D4" s="5" t="s">
        <v>233</v>
      </c>
      <c r="E4" s="5" t="s">
        <v>234</v>
      </c>
      <c r="F4" s="5" t="s">
        <v>235</v>
      </c>
    </row>
    <row r="5" spans="1:6" ht="34.5" customHeight="1" x14ac:dyDescent="0.3">
      <c r="A5" s="6" t="s">
        <v>236</v>
      </c>
      <c r="B5" s="23">
        <v>1.0999999999999999E-2</v>
      </c>
      <c r="C5" s="29">
        <f>'Model Linkage'!B10</f>
        <v>7.7428999999999998E-2</v>
      </c>
      <c r="D5" s="23">
        <v>-2.5000000000000001E-2</v>
      </c>
      <c r="E5" s="30">
        <f t="shared" ref="E5:E10" si="0">B5+C5+D5</f>
        <v>6.3428999999999985E-2</v>
      </c>
      <c r="F5" s="31" t="s">
        <v>237</v>
      </c>
    </row>
    <row r="6" spans="1:6" ht="15" customHeight="1" x14ac:dyDescent="0.3">
      <c r="A6" s="6" t="s">
        <v>238</v>
      </c>
      <c r="B6" s="23">
        <v>0.03</v>
      </c>
      <c r="C6" s="23">
        <v>0.04</v>
      </c>
      <c r="D6" s="23">
        <v>-0.02</v>
      </c>
      <c r="E6" s="30">
        <f t="shared" si="0"/>
        <v>0.05</v>
      </c>
      <c r="F6" s="31" t="s">
        <v>239</v>
      </c>
    </row>
    <row r="7" spans="1:6" ht="23.25" customHeight="1" x14ac:dyDescent="0.3">
      <c r="A7" s="6" t="s">
        <v>240</v>
      </c>
      <c r="B7" s="23">
        <v>2.5000000000000001E-2</v>
      </c>
      <c r="C7" s="23">
        <v>0.08</v>
      </c>
      <c r="D7" s="23">
        <v>-0.02</v>
      </c>
      <c r="E7" s="30">
        <f t="shared" si="0"/>
        <v>8.5000000000000006E-2</v>
      </c>
      <c r="F7" s="31" t="s">
        <v>241</v>
      </c>
    </row>
    <row r="8" spans="1:6" ht="15" customHeight="1" x14ac:dyDescent="0.3">
      <c r="A8" s="6" t="s">
        <v>242</v>
      </c>
      <c r="B8" s="23">
        <v>4.5999999999999999E-2</v>
      </c>
      <c r="C8" s="23">
        <v>0</v>
      </c>
      <c r="D8" s="23">
        <v>-1.7999999999999999E-2</v>
      </c>
      <c r="E8" s="30">
        <f t="shared" si="0"/>
        <v>2.8000000000000001E-2</v>
      </c>
      <c r="F8" s="31" t="s">
        <v>243</v>
      </c>
    </row>
    <row r="9" spans="1:6" ht="15" customHeight="1" x14ac:dyDescent="0.3">
      <c r="A9" s="6" t="s">
        <v>244</v>
      </c>
      <c r="B9" s="23">
        <v>0.05</v>
      </c>
      <c r="C9" s="23">
        <v>0</v>
      </c>
      <c r="D9" s="23">
        <v>-1.4999999999999999E-2</v>
      </c>
      <c r="E9" s="30">
        <f t="shared" si="0"/>
        <v>3.5000000000000003E-2</v>
      </c>
      <c r="F9" s="31" t="s">
        <v>245</v>
      </c>
    </row>
    <row r="10" spans="1:6" ht="15" customHeight="1" x14ac:dyDescent="0.3">
      <c r="A10" s="6" t="s">
        <v>246</v>
      </c>
      <c r="B10" s="23">
        <v>3.6999999999999998E-2</v>
      </c>
      <c r="C10" s="23">
        <v>0</v>
      </c>
      <c r="D10" s="23">
        <v>0</v>
      </c>
      <c r="E10" s="30">
        <f t="shared" si="0"/>
        <v>3.6999999999999998E-2</v>
      </c>
      <c r="F10" s="31" t="s">
        <v>247</v>
      </c>
    </row>
    <row r="11" spans="1:6" ht="12" customHeight="1" x14ac:dyDescent="0.25"/>
    <row r="12" spans="1:6" ht="12" customHeight="1" x14ac:dyDescent="0.25"/>
    <row r="13" spans="1:6" ht="15" customHeight="1" x14ac:dyDescent="0.35">
      <c r="A13" s="4" t="s">
        <v>248</v>
      </c>
    </row>
    <row r="14" spans="1:6" ht="15" customHeight="1" x14ac:dyDescent="0.3">
      <c r="A14" s="6" t="s">
        <v>249</v>
      </c>
      <c r="E14" s="30">
        <f>0.54*E5+0.12*E7+0.09*E6+0.21*E9+0.04*E10</f>
        <v>5.7781659999999999E-2</v>
      </c>
    </row>
    <row r="15" spans="1:6" ht="15" customHeight="1" x14ac:dyDescent="0.3">
      <c r="A15" s="6" t="s">
        <v>250</v>
      </c>
      <c r="E15" s="30">
        <f>0.5*E5+0.2*(0.75*E6+0.25*E7)+0.3*E8</f>
        <v>5.1864499999999994E-2</v>
      </c>
    </row>
    <row r="16" spans="1:6" ht="15" customHeight="1" x14ac:dyDescent="0.3">
      <c r="A16" s="6" t="s">
        <v>251</v>
      </c>
      <c r="E16" s="32">
        <f>E14-E15</f>
        <v>5.9171600000000046E-3</v>
      </c>
    </row>
    <row r="17" spans="1:1" ht="12" customHeight="1" x14ac:dyDescent="0.25"/>
    <row r="18" spans="1:1" ht="15" customHeight="1" x14ac:dyDescent="0.25">
      <c r="A18" s="3" t="s">
        <v>252</v>
      </c>
    </row>
    <row r="19" spans="1:1" ht="15" customHeight="1" x14ac:dyDescent="0.25">
      <c r="A19" s="3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zoomScaleNormal="100" workbookViewId="0">
      <selection activeCell="A36" sqref="A36"/>
    </sheetView>
  </sheetViews>
  <sheetFormatPr defaultColWidth="8.6328125" defaultRowHeight="12.5" x14ac:dyDescent="0.25"/>
  <cols>
    <col min="1" max="1" width="24" style="2" customWidth="1"/>
    <col min="2" max="2" width="13" style="2" customWidth="1"/>
    <col min="3" max="7" width="14" style="2" customWidth="1"/>
    <col min="8" max="16384" width="8.6328125" style="2"/>
  </cols>
  <sheetData>
    <row r="1" spans="1:6" ht="15.75" customHeight="1" x14ac:dyDescent="0.4">
      <c r="A1" s="1" t="s">
        <v>254</v>
      </c>
    </row>
    <row r="2" spans="1:6" ht="15" customHeight="1" x14ac:dyDescent="0.25">
      <c r="A2" s="3" t="s">
        <v>255</v>
      </c>
    </row>
    <row r="3" spans="1:6" ht="12" customHeight="1" x14ac:dyDescent="0.25"/>
    <row r="4" spans="1:6" ht="15" customHeight="1" x14ac:dyDescent="0.25">
      <c r="A4" s="5" t="s">
        <v>256</v>
      </c>
      <c r="B4" s="5" t="s">
        <v>257</v>
      </c>
      <c r="C4" s="5" t="s">
        <v>258</v>
      </c>
    </row>
    <row r="5" spans="1:6" ht="15" customHeight="1" x14ac:dyDescent="0.3">
      <c r="A5" s="6" t="s">
        <v>259</v>
      </c>
      <c r="B5" s="18">
        <f>'Expected Returns CMO'!E5</f>
        <v>6.3428999999999985E-2</v>
      </c>
      <c r="C5" s="19">
        <f>(1+B5)^(1/12)-1</f>
        <v>5.1380374017522268E-3</v>
      </c>
    </row>
    <row r="6" spans="1:6" ht="15" customHeight="1" x14ac:dyDescent="0.3">
      <c r="A6" s="6" t="s">
        <v>260</v>
      </c>
      <c r="B6" s="18">
        <f>'Expected Returns CMO'!E6</f>
        <v>0.05</v>
      </c>
      <c r="C6" s="19">
        <f>(1+B6)^(1/12)-1</f>
        <v>4.0741237836483535E-3</v>
      </c>
    </row>
    <row r="7" spans="1:6" ht="15" customHeight="1" x14ac:dyDescent="0.3">
      <c r="A7" s="6" t="s">
        <v>261</v>
      </c>
      <c r="B7" s="18">
        <f>'Expected Returns CMO'!E7</f>
        <v>8.5000000000000006E-2</v>
      </c>
      <c r="C7" s="19">
        <f>(1+B7)^(1/12)-1</f>
        <v>6.8214933659622723E-3</v>
      </c>
    </row>
    <row r="8" spans="1:6" ht="15" customHeight="1" x14ac:dyDescent="0.3">
      <c r="A8" s="6" t="s">
        <v>262</v>
      </c>
      <c r="B8" s="18">
        <f>'Expected Returns CMO'!E8</f>
        <v>2.8000000000000001E-2</v>
      </c>
      <c r="C8" s="19">
        <f>(1+B8)^(1/12)-1</f>
        <v>2.3039138595752906E-3</v>
      </c>
    </row>
    <row r="9" spans="1:6" ht="15" customHeight="1" x14ac:dyDescent="0.3">
      <c r="A9" s="6" t="s">
        <v>263</v>
      </c>
      <c r="B9" s="18">
        <f>'Expected Returns CMO'!E10</f>
        <v>3.6999999999999998E-2</v>
      </c>
      <c r="C9" s="19">
        <f>(1+B9)^(1/12)-1</f>
        <v>3.0322487646148311E-3</v>
      </c>
    </row>
    <row r="10" spans="1:6" ht="12" customHeight="1" x14ac:dyDescent="0.25"/>
    <row r="11" spans="1:6" ht="15" customHeight="1" x14ac:dyDescent="0.3">
      <c r="A11" s="20" t="s">
        <v>264</v>
      </c>
    </row>
    <row r="12" spans="1:6" ht="15" customHeight="1" x14ac:dyDescent="0.25">
      <c r="B12" s="21" t="s">
        <v>259</v>
      </c>
      <c r="C12" s="21" t="s">
        <v>260</v>
      </c>
      <c r="D12" s="21" t="s">
        <v>261</v>
      </c>
      <c r="E12" s="21" t="s">
        <v>262</v>
      </c>
      <c r="F12" s="21" t="s">
        <v>263</v>
      </c>
    </row>
    <row r="13" spans="1:6" ht="15" customHeight="1" x14ac:dyDescent="0.3">
      <c r="A13" s="21" t="s">
        <v>259</v>
      </c>
      <c r="B13" s="22">
        <v>2.0644782999999999E-3</v>
      </c>
      <c r="C13" s="22">
        <v>1.6416002000000001E-3</v>
      </c>
      <c r="D13" s="22">
        <v>1.5581277999999999E-3</v>
      </c>
      <c r="E13" s="22">
        <v>2.6355159999999999E-4</v>
      </c>
      <c r="F13" s="22">
        <v>7.158425E-7</v>
      </c>
    </row>
    <row r="14" spans="1:6" ht="15" customHeight="1" x14ac:dyDescent="0.3">
      <c r="A14" s="21" t="s">
        <v>260</v>
      </c>
      <c r="B14" s="22">
        <v>1.6416002000000001E-3</v>
      </c>
      <c r="C14" s="22">
        <v>1.8851713E-3</v>
      </c>
      <c r="D14" s="22">
        <v>1.7314099E-3</v>
      </c>
      <c r="E14" s="22">
        <v>3.0044030000000001E-4</v>
      </c>
      <c r="F14" s="22">
        <v>3.4767180000000002E-6</v>
      </c>
    </row>
    <row r="15" spans="1:6" ht="15" customHeight="1" x14ac:dyDescent="0.3">
      <c r="A15" s="21" t="s">
        <v>261</v>
      </c>
      <c r="B15" s="22">
        <v>1.5581277999999999E-3</v>
      </c>
      <c r="C15" s="22">
        <v>1.7314099E-3</v>
      </c>
      <c r="D15" s="22">
        <v>2.5175795E-3</v>
      </c>
      <c r="E15" s="22">
        <v>3.1451249999999998E-4</v>
      </c>
      <c r="F15" s="22">
        <v>3.1639290000000001E-6</v>
      </c>
    </row>
    <row r="16" spans="1:6" ht="15" customHeight="1" x14ac:dyDescent="0.3">
      <c r="A16" s="21" t="s">
        <v>262</v>
      </c>
      <c r="B16" s="22">
        <v>2.6355159999999999E-4</v>
      </c>
      <c r="C16" s="22">
        <v>3.0044030000000001E-4</v>
      </c>
      <c r="D16" s="22">
        <v>3.1451249999999998E-4</v>
      </c>
      <c r="E16" s="22">
        <v>2.134413E-4</v>
      </c>
      <c r="F16" s="22">
        <v>3.4621050000000002E-6</v>
      </c>
    </row>
    <row r="17" spans="1:7" ht="15" customHeight="1" x14ac:dyDescent="0.3">
      <c r="A17" s="21" t="s">
        <v>263</v>
      </c>
      <c r="B17" s="22">
        <v>7.158425E-7</v>
      </c>
      <c r="C17" s="22">
        <v>3.4767180000000002E-6</v>
      </c>
      <c r="D17" s="22">
        <v>3.1639290000000001E-6</v>
      </c>
      <c r="E17" s="22">
        <v>3.4621050000000002E-6</v>
      </c>
      <c r="F17" s="22">
        <v>2.5798669999999998E-6</v>
      </c>
    </row>
    <row r="18" spans="1:7" ht="12" customHeight="1" x14ac:dyDescent="0.25"/>
    <row r="19" spans="1:7" ht="15" customHeight="1" x14ac:dyDescent="0.3">
      <c r="A19" s="20" t="s">
        <v>265</v>
      </c>
    </row>
    <row r="20" spans="1:7" ht="15" customHeight="1" x14ac:dyDescent="0.25">
      <c r="A20" s="5" t="s">
        <v>256</v>
      </c>
      <c r="B20" s="5"/>
      <c r="C20" s="5" t="s">
        <v>266</v>
      </c>
      <c r="D20" s="5" t="s">
        <v>267</v>
      </c>
      <c r="E20" s="5" t="s">
        <v>268</v>
      </c>
      <c r="F20" s="5" t="s">
        <v>269</v>
      </c>
      <c r="G20" s="5" t="s">
        <v>270</v>
      </c>
    </row>
    <row r="21" spans="1:7" ht="15" customHeight="1" x14ac:dyDescent="0.3">
      <c r="A21" s="6" t="s">
        <v>259</v>
      </c>
      <c r="C21" s="23">
        <v>0.4</v>
      </c>
      <c r="D21" s="23">
        <v>0.30099999999999999</v>
      </c>
      <c r="E21" s="23">
        <v>0.40010000000000001</v>
      </c>
      <c r="F21" s="23">
        <v>0.54</v>
      </c>
      <c r="G21" s="23">
        <v>0.5</v>
      </c>
    </row>
    <row r="22" spans="1:7" ht="15" customHeight="1" x14ac:dyDescent="0.3">
      <c r="A22" s="6" t="s">
        <v>260</v>
      </c>
      <c r="C22" s="23">
        <v>0</v>
      </c>
      <c r="D22" s="23">
        <v>0.20619999999999999</v>
      </c>
      <c r="E22" s="23">
        <v>0</v>
      </c>
      <c r="F22" s="23">
        <v>0.09</v>
      </c>
      <c r="G22" s="23">
        <v>0.15</v>
      </c>
    </row>
    <row r="23" spans="1:7" ht="15" customHeight="1" x14ac:dyDescent="0.3">
      <c r="A23" s="6" t="s">
        <v>261</v>
      </c>
      <c r="C23" s="23">
        <v>0.4</v>
      </c>
      <c r="D23" s="23">
        <v>9.2799999999999994E-2</v>
      </c>
      <c r="E23" s="23">
        <v>0.39989999999999998</v>
      </c>
      <c r="F23" s="23">
        <v>0.12</v>
      </c>
      <c r="G23" s="23">
        <v>0.05</v>
      </c>
    </row>
    <row r="24" spans="1:7" ht="15" customHeight="1" x14ac:dyDescent="0.3">
      <c r="A24" s="6" t="s">
        <v>262</v>
      </c>
      <c r="C24" s="23">
        <v>0.2</v>
      </c>
      <c r="D24" s="23">
        <v>0.2</v>
      </c>
      <c r="E24" s="23">
        <v>0.2</v>
      </c>
      <c r="F24" s="23">
        <v>0.21</v>
      </c>
      <c r="G24" s="23">
        <v>0.3</v>
      </c>
    </row>
    <row r="25" spans="1:7" ht="15" customHeight="1" x14ac:dyDescent="0.3">
      <c r="A25" s="6" t="s">
        <v>263</v>
      </c>
      <c r="C25" s="23">
        <v>0</v>
      </c>
      <c r="D25" s="23">
        <v>0.2</v>
      </c>
      <c r="E25" s="23">
        <v>0</v>
      </c>
      <c r="F25" s="23">
        <v>0.04</v>
      </c>
      <c r="G25" s="23">
        <v>0</v>
      </c>
    </row>
    <row r="26" spans="1:7" ht="15" customHeight="1" x14ac:dyDescent="0.3">
      <c r="A26" s="6" t="s">
        <v>271</v>
      </c>
      <c r="C26" s="24">
        <f>SUM(C21:C25)</f>
        <v>1</v>
      </c>
      <c r="D26" s="24">
        <f>SUM(D21:D25)</f>
        <v>1</v>
      </c>
      <c r="E26" s="24">
        <f>SUM(E21:E25)</f>
        <v>1</v>
      </c>
      <c r="F26" s="24">
        <f>SUM(F21:F25)</f>
        <v>1</v>
      </c>
      <c r="G26" s="24">
        <f>SUM(G21:G25)</f>
        <v>1</v>
      </c>
    </row>
    <row r="27" spans="1:7" ht="12" customHeight="1" x14ac:dyDescent="0.25"/>
    <row r="28" spans="1:7" ht="15" customHeight="1" x14ac:dyDescent="0.25">
      <c r="A28" s="3" t="s">
        <v>272</v>
      </c>
    </row>
    <row r="29" spans="1:7" ht="15" customHeight="1" x14ac:dyDescent="0.25">
      <c r="A29" s="3" t="s">
        <v>259</v>
      </c>
      <c r="C29" s="25">
        <f t="array" ref="C29">MMULT($B13:$F13,C$21:C$25)</f>
        <v>1.5017527599999999E-3</v>
      </c>
      <c r="D29" s="25">
        <f t="array" ref="D29">MMULT($B13:$F13,D$21:D$25)</f>
        <v>1.15735367788E-3</v>
      </c>
      <c r="E29" s="25">
        <f t="array" ref="E29">MMULT($B13:$F13,E$21:E$25)</f>
        <v>1.50180339505E-3</v>
      </c>
      <c r="F29" s="25">
        <f t="array" ref="F29">MMULT($B13:$F13,F$21:F$25)</f>
        <v>1.5049121056999999E-3</v>
      </c>
      <c r="G29" s="25">
        <f t="array" ref="G29">MMULT($B13:$F13,G$21:G$25)</f>
        <v>1.4354510499999999E-3</v>
      </c>
    </row>
    <row r="30" spans="1:7" ht="15" customHeight="1" x14ac:dyDescent="0.25">
      <c r="A30" s="3" t="s">
        <v>260</v>
      </c>
      <c r="C30" s="25">
        <f t="array" ref="C30">MMULT($B14:$F14,C$21:C$25)</f>
        <v>1.4092921000000002E-3</v>
      </c>
      <c r="D30" s="25">
        <f t="array" ref="D30">MMULT($B14:$F14,D$21:D$25)</f>
        <v>1.1043022245799999E-3</v>
      </c>
      <c r="E30" s="25">
        <f t="array" ref="E30">MMULT($B14:$F14,E$21:E$25)</f>
        <v>1.4092831190300002E-3</v>
      </c>
      <c r="F30" s="25">
        <f t="array" ref="F30">MMULT($B14:$F14,F$21:F$25)</f>
        <v>1.3271302447200001E-3</v>
      </c>
      <c r="G30" s="25">
        <f t="array" ref="G30">MMULT($B14:$F14,G$21:G$25)</f>
        <v>1.2802783800000001E-3</v>
      </c>
    </row>
    <row r="31" spans="1:7" ht="15" customHeight="1" x14ac:dyDescent="0.25">
      <c r="A31" s="3" t="s">
        <v>261</v>
      </c>
      <c r="C31" s="25">
        <f t="array" ref="C31">MMULT($B15:$F15,C$21:C$25)</f>
        <v>1.6931854200000001E-3</v>
      </c>
      <c r="D31" s="25">
        <f t="array" ref="D31">MMULT($B15:$F15,D$21:D$25)</f>
        <v>1.1231798525799998E-3</v>
      </c>
      <c r="E31" s="25">
        <f t="array" ref="E31">MMULT($B15:$F15,E$21:E$25)</f>
        <v>1.6930894748299998E-3</v>
      </c>
      <c r="F31" s="25">
        <f t="array" ref="F31">MMULT($B15:$F15,F$21:F$25)</f>
        <v>1.36549962516E-3</v>
      </c>
      <c r="G31" s="25">
        <f t="array" ref="G31">MMULT($B15:$F15,G$21:G$25)</f>
        <v>1.25900811E-3</v>
      </c>
    </row>
    <row r="32" spans="1:7" ht="15" customHeight="1" x14ac:dyDescent="0.25">
      <c r="A32" s="3" t="s">
        <v>262</v>
      </c>
      <c r="C32" s="25">
        <f t="array" ref="C32">MMULT($B16:$F16,C$21:C$25)</f>
        <v>2.7391389999999996E-4</v>
      </c>
      <c r="D32" s="25">
        <f t="array" ref="D32">MMULT($B16:$F16,D$21:D$25)</f>
        <v>2.1384726245999997E-4</v>
      </c>
      <c r="E32" s="25">
        <f t="array" ref="E32">MMULT($B16:$F16,E$21:E$25)</f>
        <v>2.7390880390999999E-4</v>
      </c>
      <c r="F32" s="25">
        <f t="array" ref="F32">MMULT($B16:$F16,F$21:F$25)</f>
        <v>2.5206014819999998E-4</v>
      </c>
      <c r="G32" s="25">
        <f t="array" ref="G32">MMULT($B16:$F16,G$21:G$25)</f>
        <v>2.5659986000000002E-4</v>
      </c>
    </row>
    <row r="33" spans="1:7" ht="15" customHeight="1" x14ac:dyDescent="0.25">
      <c r="A33" s="3" t="s">
        <v>263</v>
      </c>
      <c r="C33" s="25">
        <f t="array" ref="C33">MMULT($B17:$F17,C$21:C$25)</f>
        <v>2.2443296000000005E-6</v>
      </c>
      <c r="D33" s="25">
        <f t="array" ref="D33">MMULT($B17:$F17,D$21:D$25)</f>
        <v>2.4343748553000003E-6</v>
      </c>
      <c r="E33" s="25">
        <f t="array" ref="E33">MMULT($B17:$F17,E$21:E$25)</f>
        <v>2.2440847913499998E-6</v>
      </c>
      <c r="F33" s="25">
        <f t="array" ref="F33">MMULT($B17:$F17,F$21:F$25)</f>
        <v>1.9093677799999999E-6</v>
      </c>
      <c r="G33" s="25">
        <f t="array" ref="G33">MMULT($B17:$F17,G$21:G$25)</f>
        <v>2.0762568999999999E-6</v>
      </c>
    </row>
    <row r="34" spans="1:7" ht="12" customHeight="1" x14ac:dyDescent="0.25"/>
    <row r="35" spans="1:7" ht="15" customHeight="1" x14ac:dyDescent="0.3">
      <c r="A35" s="6" t="s">
        <v>273</v>
      </c>
      <c r="C35" s="26">
        <f>SUMPRODUCT($C$5:$C$9,C21:C25)</f>
        <v>5.2445950790008574E-3</v>
      </c>
      <c r="D35" s="26">
        <f>SUMPRODUCT($C$5:$C$9,D21:D25)</f>
        <v>4.0869006913150339E-3</v>
      </c>
      <c r="E35" s="26">
        <f>SUMPRODUCT($C$5:$C$9,E21:E25)</f>
        <v>5.2444267334044361E-3</v>
      </c>
      <c r="F35" s="26">
        <f>SUMPRODUCT($C$5:$C$9,F21:F25)</f>
        <v>4.5649024024854304E-3</v>
      </c>
      <c r="G35" s="26">
        <f>SUMPRODUCT($C$5:$C$9,G21:G25)</f>
        <v>4.2123860945940672E-3</v>
      </c>
    </row>
    <row r="36" spans="1:7" ht="15" customHeight="1" x14ac:dyDescent="0.3">
      <c r="A36" s="6" t="s">
        <v>274</v>
      </c>
      <c r="C36" s="16">
        <f>(1+C35)^12-1</f>
        <v>6.4782636395191551E-2</v>
      </c>
      <c r="D36" s="16">
        <f>(1+D35)^12-1</f>
        <v>5.01603470307046E-2</v>
      </c>
      <c r="E36" s="16">
        <f>(1+E35)^12-1</f>
        <v>6.4780496601907434E-2</v>
      </c>
      <c r="F36" s="16">
        <f>(1+F35)^12-1</f>
        <v>5.6175302886726675E-2</v>
      </c>
      <c r="G36" s="16">
        <f>(1+G35)^12-1</f>
        <v>5.1736351010517545E-2</v>
      </c>
    </row>
    <row r="37" spans="1:7" ht="15" customHeight="1" x14ac:dyDescent="0.3">
      <c r="A37" s="6" t="s">
        <v>275</v>
      </c>
      <c r="C37" s="16">
        <f>SQRT(SUMPRODUCT(C21:C25,C29:C33)*12)</f>
        <v>0.12646381547304353</v>
      </c>
      <c r="D37" s="16">
        <f>SQRT(SUMPRODUCT(D21:D25,D29:D33)*12)</f>
        <v>9.3180984768315891E-2</v>
      </c>
      <c r="E37" s="16">
        <f>SQRT(SUMPRODUCT(E21:E25,E29:E33)*12)</f>
        <v>0.12646199967386354</v>
      </c>
      <c r="F37" s="16">
        <f>SQRT(SUMPRODUCT(F21:F25,F29:F33)*12)</f>
        <v>0.11742043535714897</v>
      </c>
      <c r="G37" s="16">
        <f>SQRT(SUMPRODUCT(G21:G25,G29:G33)*12)</f>
        <v>0.11223355891176222</v>
      </c>
    </row>
    <row r="38" spans="1:7" ht="15" customHeight="1" x14ac:dyDescent="0.3">
      <c r="A38" s="6" t="s">
        <v>276</v>
      </c>
      <c r="C38" s="27">
        <f>(C36-$B$9)/C37</f>
        <v>0.21968842463964389</v>
      </c>
      <c r="D38" s="27">
        <f>(D36-$B$9)/D37</f>
        <v>0.14123425571672518</v>
      </c>
      <c r="E38" s="27">
        <f>(E36-$B$9)/E37</f>
        <v>0.21967465858163995</v>
      </c>
      <c r="F38" s="27">
        <f>(F36-$B$9)/F37</f>
        <v>0.16330464819349877</v>
      </c>
      <c r="G38" s="27">
        <f>(G36-$B$9)/G37</f>
        <v>0.13130075490257984</v>
      </c>
    </row>
    <row r="39" spans="1:7" ht="12" customHeight="1" x14ac:dyDescent="0.25"/>
    <row r="40" spans="1:7" ht="12" customHeight="1" x14ac:dyDescent="0.25"/>
    <row r="41" spans="1:7" ht="15" customHeight="1" x14ac:dyDescent="0.25">
      <c r="A41" s="28" t="s">
        <v>277</v>
      </c>
    </row>
    <row r="42" spans="1:7" ht="15" customHeight="1" x14ac:dyDescent="0.25">
      <c r="A42" s="3" t="s">
        <v>278</v>
      </c>
    </row>
    <row r="43" spans="1:7" ht="15" customHeight="1" x14ac:dyDescent="0.25">
      <c r="A43" s="3" t="s">
        <v>279</v>
      </c>
    </row>
    <row r="44" spans="1:7" ht="15" customHeight="1" x14ac:dyDescent="0.25">
      <c r="A44" s="3" t="s">
        <v>280</v>
      </c>
    </row>
    <row r="45" spans="1:7" ht="12" customHeight="1" x14ac:dyDescent="0.25">
      <c r="A45" s="2" t="s">
        <v>281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 Allocation $1M</vt:lpstr>
      <vt:lpstr>US Sector Allocation</vt:lpstr>
      <vt:lpstr>Model Linkage</vt:lpstr>
      <vt:lpstr>Port Comparisons</vt:lpstr>
      <vt:lpstr>Screener Criteria</vt:lpstr>
      <vt:lpstr>Sector ETF Selection</vt:lpstr>
      <vt:lpstr>Expected Returns CMO</vt:lpstr>
      <vt:lpstr>Optimizer (Expected)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ACCM Portfolio Allocation Workbook</dc:title>
  <dc:creator>Andrew Pasten</dc:creator>
  <dc:description>Sector allocation, screener, expected returns, optimisation and June attribution. FRL 6950. Frozen 31 July 2026.</dc:description>
  <cp:lastModifiedBy>Andrew Pasten</cp:lastModifiedBy>
  <cp:revision>0</cp:revision>
  <dcterms:created xsi:type="dcterms:W3CDTF">2024-12-11T08:14:22Z</dcterms:created>
  <dcterms:modified xsi:type="dcterms:W3CDTF">2026-10-06T02:23:19Z</dcterms:modified>
  <dc:language>en-US</dc:language>
</cp:coreProperties>
</file>