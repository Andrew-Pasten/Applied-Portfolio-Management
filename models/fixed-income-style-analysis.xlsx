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b07fe6b7538511e/0 MSFA/CURRENT DELIVERABLES - 5 Oct 2026/"/>
    </mc:Choice>
  </mc:AlternateContent>
  <xr:revisionPtr revIDLastSave="0" documentId="8_{3E5427D2-3297-4897-9F5C-37D92A7EE0E5}" xr6:coauthVersionLast="47" xr6:coauthVersionMax="47" xr10:uidLastSave="{00000000-0000-0000-0000-000000000000}"/>
  <bookViews>
    <workbookView xWindow="-110" yWindow="-110" windowWidth="25820" windowHeight="16220" tabRatio="500" xr2:uid="{00000000-000D-0000-FFFF-FFFF00000000}"/>
  </bookViews>
  <sheets>
    <sheet name="Data" sheetId="1" r:id="rId1"/>
    <sheet name="Monthly Returns" sheetId="2" r:id="rId2"/>
    <sheet name="Summary Stats" sheetId="3" r:id="rId3"/>
    <sheet name="Calendar Year Returns" sheetId="4" r:id="rId4"/>
    <sheet name="Correlations" sheetId="5" r:id="rId5"/>
    <sheet name="Growth vs Value" sheetId="6" r:id="rId6"/>
    <sheet name="Current Fund Stats (Fwd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/>
  <c r="H10" i="7"/>
  <c r="H8" i="7"/>
  <c r="H7" i="7"/>
  <c r="H6" i="7"/>
  <c r="C9" i="6"/>
  <c r="B9" i="6"/>
  <c r="D9" i="6" s="1"/>
  <c r="K12" i="5"/>
  <c r="K14" i="4"/>
  <c r="J14" i="4"/>
  <c r="I14" i="4"/>
  <c r="H14" i="4"/>
  <c r="G14" i="4"/>
  <c r="F14" i="4"/>
  <c r="E14" i="4"/>
  <c r="D14" i="4"/>
  <c r="C14" i="4"/>
  <c r="C10" i="6" s="1"/>
  <c r="B14" i="4"/>
  <c r="B10" i="6" s="1"/>
  <c r="D10" i="6" s="1"/>
  <c r="K13" i="4"/>
  <c r="J13" i="4"/>
  <c r="I13" i="4"/>
  <c r="H13" i="4"/>
  <c r="G13" i="4"/>
  <c r="F13" i="4"/>
  <c r="E13" i="4"/>
  <c r="D13" i="4"/>
  <c r="C13" i="4"/>
  <c r="B13" i="4"/>
  <c r="K12" i="4"/>
  <c r="J12" i="4"/>
  <c r="I12" i="4"/>
  <c r="H12" i="4"/>
  <c r="G12" i="4"/>
  <c r="F12" i="4"/>
  <c r="E12" i="4"/>
  <c r="D12" i="4"/>
  <c r="C12" i="4"/>
  <c r="B12" i="4"/>
  <c r="K11" i="4"/>
  <c r="J11" i="4"/>
  <c r="I11" i="4"/>
  <c r="H11" i="4"/>
  <c r="G11" i="4"/>
  <c r="F11" i="4"/>
  <c r="E11" i="4"/>
  <c r="D11" i="4"/>
  <c r="C11" i="4"/>
  <c r="B11" i="4"/>
  <c r="K10" i="4"/>
  <c r="J10" i="4"/>
  <c r="I10" i="4"/>
  <c r="H10" i="4"/>
  <c r="G10" i="4"/>
  <c r="F10" i="4"/>
  <c r="E10" i="4"/>
  <c r="D10" i="4"/>
  <c r="C10" i="4"/>
  <c r="B10" i="4"/>
  <c r="K9" i="4"/>
  <c r="J9" i="4"/>
  <c r="I9" i="4"/>
  <c r="H9" i="4"/>
  <c r="G9" i="4"/>
  <c r="F9" i="4"/>
  <c r="E9" i="4"/>
  <c r="D9" i="4"/>
  <c r="C9" i="4"/>
  <c r="B9" i="4"/>
  <c r="K8" i="4"/>
  <c r="J8" i="4"/>
  <c r="I8" i="4"/>
  <c r="H8" i="4"/>
  <c r="G8" i="4"/>
  <c r="F8" i="4"/>
  <c r="E8" i="4"/>
  <c r="D8" i="4"/>
  <c r="C8" i="4"/>
  <c r="B8" i="4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K13" i="3"/>
  <c r="J13" i="3"/>
  <c r="I13" i="3"/>
  <c r="H13" i="3"/>
  <c r="G13" i="3"/>
  <c r="F13" i="3"/>
  <c r="E13" i="3"/>
  <c r="D13" i="3"/>
  <c r="C13" i="3"/>
  <c r="B13" i="3"/>
  <c r="K12" i="3"/>
  <c r="J12" i="3"/>
  <c r="F12" i="3"/>
  <c r="D12" i="3"/>
  <c r="C12" i="3"/>
  <c r="C8" i="6" s="1"/>
  <c r="B12" i="3"/>
  <c r="B8" i="6" s="1"/>
  <c r="D8" i="6" s="1"/>
  <c r="K9" i="3"/>
  <c r="J9" i="3"/>
  <c r="I9" i="3"/>
  <c r="H9" i="3"/>
  <c r="G9" i="3"/>
  <c r="F9" i="3"/>
  <c r="E9" i="3"/>
  <c r="D9" i="3"/>
  <c r="C9" i="3"/>
  <c r="C7" i="6" s="1"/>
  <c r="B9" i="3"/>
  <c r="B7" i="6" s="1"/>
  <c r="D7" i="6" s="1"/>
  <c r="K7" i="3"/>
  <c r="J7" i="3"/>
  <c r="I7" i="3"/>
  <c r="H7" i="3"/>
  <c r="G7" i="3"/>
  <c r="F7" i="3"/>
  <c r="E7" i="3"/>
  <c r="D7" i="3"/>
  <c r="C7" i="3"/>
  <c r="B7" i="3"/>
  <c r="K6" i="3"/>
  <c r="K8" i="3" s="1"/>
  <c r="J6" i="3"/>
  <c r="J8" i="3" s="1"/>
  <c r="H6" i="3"/>
  <c r="H8" i="3" s="1"/>
  <c r="G6" i="3"/>
  <c r="G8" i="3" s="1"/>
  <c r="F6" i="3"/>
  <c r="F8" i="3" s="1"/>
  <c r="E6" i="3"/>
  <c r="E8" i="3" s="1"/>
  <c r="D6" i="3"/>
  <c r="D8" i="3" s="1"/>
  <c r="B6" i="3"/>
  <c r="B8" i="3" s="1"/>
  <c r="B5" i="6" s="1"/>
  <c r="K121" i="2"/>
  <c r="J121" i="2"/>
  <c r="I121" i="2"/>
  <c r="H121" i="2"/>
  <c r="G121" i="2"/>
  <c r="F121" i="2"/>
  <c r="E121" i="2"/>
  <c r="D121" i="2"/>
  <c r="C121" i="2"/>
  <c r="B121" i="2"/>
  <c r="A121" i="2"/>
  <c r="K120" i="2"/>
  <c r="J120" i="2"/>
  <c r="I120" i="2"/>
  <c r="H120" i="2"/>
  <c r="G120" i="2"/>
  <c r="F120" i="2"/>
  <c r="E120" i="2"/>
  <c r="D120" i="2"/>
  <c r="C120" i="2"/>
  <c r="B120" i="2"/>
  <c r="A120" i="2"/>
  <c r="K119" i="2"/>
  <c r="J119" i="2"/>
  <c r="I119" i="2"/>
  <c r="H119" i="2"/>
  <c r="G119" i="2"/>
  <c r="F119" i="2"/>
  <c r="E119" i="2"/>
  <c r="D119" i="2"/>
  <c r="C119" i="2"/>
  <c r="B119" i="2"/>
  <c r="A119" i="2"/>
  <c r="K118" i="2"/>
  <c r="J118" i="2"/>
  <c r="I118" i="2"/>
  <c r="H118" i="2"/>
  <c r="G118" i="2"/>
  <c r="F118" i="2"/>
  <c r="E118" i="2"/>
  <c r="D118" i="2"/>
  <c r="C118" i="2"/>
  <c r="B118" i="2"/>
  <c r="A118" i="2"/>
  <c r="K117" i="2"/>
  <c r="J117" i="2"/>
  <c r="I117" i="2"/>
  <c r="H117" i="2"/>
  <c r="G117" i="2"/>
  <c r="F117" i="2"/>
  <c r="E117" i="2"/>
  <c r="D117" i="2"/>
  <c r="C117" i="2"/>
  <c r="B117" i="2"/>
  <c r="A117" i="2"/>
  <c r="K116" i="2"/>
  <c r="J116" i="2"/>
  <c r="I116" i="2"/>
  <c r="H116" i="2"/>
  <c r="G116" i="2"/>
  <c r="F116" i="2"/>
  <c r="E116" i="2"/>
  <c r="D116" i="2"/>
  <c r="C116" i="2"/>
  <c r="B116" i="2"/>
  <c r="A116" i="2"/>
  <c r="K115" i="2"/>
  <c r="J115" i="2"/>
  <c r="I115" i="2"/>
  <c r="H115" i="2"/>
  <c r="G115" i="2"/>
  <c r="F115" i="2"/>
  <c r="E115" i="2"/>
  <c r="D115" i="2"/>
  <c r="C115" i="2"/>
  <c r="B115" i="2"/>
  <c r="A115" i="2"/>
  <c r="K114" i="2"/>
  <c r="J114" i="2"/>
  <c r="I114" i="2"/>
  <c r="H114" i="2"/>
  <c r="G114" i="2"/>
  <c r="F114" i="2"/>
  <c r="E114" i="2"/>
  <c r="D114" i="2"/>
  <c r="C114" i="2"/>
  <c r="B114" i="2"/>
  <c r="A114" i="2"/>
  <c r="K113" i="2"/>
  <c r="J113" i="2"/>
  <c r="I113" i="2"/>
  <c r="H113" i="2"/>
  <c r="G113" i="2"/>
  <c r="F113" i="2"/>
  <c r="E113" i="2"/>
  <c r="D113" i="2"/>
  <c r="C113" i="2"/>
  <c r="B113" i="2"/>
  <c r="A113" i="2"/>
  <c r="K112" i="2"/>
  <c r="J112" i="2"/>
  <c r="I112" i="2"/>
  <c r="H112" i="2"/>
  <c r="G112" i="2"/>
  <c r="F112" i="2"/>
  <c r="E112" i="2"/>
  <c r="D112" i="2"/>
  <c r="C112" i="2"/>
  <c r="B112" i="2"/>
  <c r="A112" i="2"/>
  <c r="K111" i="2"/>
  <c r="J111" i="2"/>
  <c r="I111" i="2"/>
  <c r="H111" i="2"/>
  <c r="G111" i="2"/>
  <c r="F111" i="2"/>
  <c r="E111" i="2"/>
  <c r="D111" i="2"/>
  <c r="C111" i="2"/>
  <c r="B111" i="2"/>
  <c r="A111" i="2"/>
  <c r="K110" i="2"/>
  <c r="J110" i="2"/>
  <c r="I110" i="2"/>
  <c r="H110" i="2"/>
  <c r="G110" i="2"/>
  <c r="F110" i="2"/>
  <c r="E110" i="2"/>
  <c r="D110" i="2"/>
  <c r="C110" i="2"/>
  <c r="B110" i="2"/>
  <c r="A110" i="2"/>
  <c r="K109" i="2"/>
  <c r="J109" i="2"/>
  <c r="I109" i="2"/>
  <c r="H109" i="2"/>
  <c r="G109" i="2"/>
  <c r="F109" i="2"/>
  <c r="E109" i="2"/>
  <c r="D109" i="2"/>
  <c r="C109" i="2"/>
  <c r="B109" i="2"/>
  <c r="A109" i="2"/>
  <c r="K108" i="2"/>
  <c r="J108" i="2"/>
  <c r="I108" i="2"/>
  <c r="H108" i="2"/>
  <c r="G108" i="2"/>
  <c r="F108" i="2"/>
  <c r="E108" i="2"/>
  <c r="D108" i="2"/>
  <c r="C108" i="2"/>
  <c r="B108" i="2"/>
  <c r="A108" i="2"/>
  <c r="K107" i="2"/>
  <c r="J107" i="2"/>
  <c r="I107" i="2"/>
  <c r="H107" i="2"/>
  <c r="G107" i="2"/>
  <c r="F107" i="2"/>
  <c r="E107" i="2"/>
  <c r="D107" i="2"/>
  <c r="C107" i="2"/>
  <c r="B107" i="2"/>
  <c r="A107" i="2"/>
  <c r="K106" i="2"/>
  <c r="J106" i="2"/>
  <c r="I106" i="2"/>
  <c r="H106" i="2"/>
  <c r="G106" i="2"/>
  <c r="F106" i="2"/>
  <c r="E106" i="2"/>
  <c r="D106" i="2"/>
  <c r="C106" i="2"/>
  <c r="B106" i="2"/>
  <c r="A106" i="2"/>
  <c r="K105" i="2"/>
  <c r="J105" i="2"/>
  <c r="I105" i="2"/>
  <c r="H105" i="2"/>
  <c r="G105" i="2"/>
  <c r="F105" i="2"/>
  <c r="E105" i="2"/>
  <c r="D105" i="2"/>
  <c r="C105" i="2"/>
  <c r="B105" i="2"/>
  <c r="A105" i="2"/>
  <c r="K104" i="2"/>
  <c r="J104" i="2"/>
  <c r="I104" i="2"/>
  <c r="H104" i="2"/>
  <c r="G104" i="2"/>
  <c r="F104" i="2"/>
  <c r="E104" i="2"/>
  <c r="D104" i="2"/>
  <c r="C104" i="2"/>
  <c r="B104" i="2"/>
  <c r="A104" i="2"/>
  <c r="K103" i="2"/>
  <c r="J103" i="2"/>
  <c r="I103" i="2"/>
  <c r="H103" i="2"/>
  <c r="G103" i="2"/>
  <c r="F103" i="2"/>
  <c r="E103" i="2"/>
  <c r="D103" i="2"/>
  <c r="C103" i="2"/>
  <c r="B103" i="2"/>
  <c r="A103" i="2"/>
  <c r="K102" i="2"/>
  <c r="J102" i="2"/>
  <c r="I102" i="2"/>
  <c r="H102" i="2"/>
  <c r="G102" i="2"/>
  <c r="F102" i="2"/>
  <c r="E102" i="2"/>
  <c r="D102" i="2"/>
  <c r="C102" i="2"/>
  <c r="B102" i="2"/>
  <c r="A102" i="2"/>
  <c r="K101" i="2"/>
  <c r="J101" i="2"/>
  <c r="I101" i="2"/>
  <c r="H101" i="2"/>
  <c r="G101" i="2"/>
  <c r="F101" i="2"/>
  <c r="E101" i="2"/>
  <c r="D101" i="2"/>
  <c r="C101" i="2"/>
  <c r="B101" i="2"/>
  <c r="A101" i="2"/>
  <c r="K100" i="2"/>
  <c r="J100" i="2"/>
  <c r="I100" i="2"/>
  <c r="H100" i="2"/>
  <c r="G100" i="2"/>
  <c r="F100" i="2"/>
  <c r="E100" i="2"/>
  <c r="D100" i="2"/>
  <c r="C100" i="2"/>
  <c r="B100" i="2"/>
  <c r="A100" i="2"/>
  <c r="K99" i="2"/>
  <c r="J99" i="2"/>
  <c r="I99" i="2"/>
  <c r="H99" i="2"/>
  <c r="G99" i="2"/>
  <c r="F99" i="2"/>
  <c r="E99" i="2"/>
  <c r="D99" i="2"/>
  <c r="C99" i="2"/>
  <c r="B99" i="2"/>
  <c r="A99" i="2"/>
  <c r="K98" i="2"/>
  <c r="J98" i="2"/>
  <c r="I98" i="2"/>
  <c r="H98" i="2"/>
  <c r="G98" i="2"/>
  <c r="F98" i="2"/>
  <c r="E98" i="2"/>
  <c r="D98" i="2"/>
  <c r="C98" i="2"/>
  <c r="B98" i="2"/>
  <c r="A98" i="2"/>
  <c r="K97" i="2"/>
  <c r="J97" i="2"/>
  <c r="I97" i="2"/>
  <c r="H97" i="2"/>
  <c r="G97" i="2"/>
  <c r="F97" i="2"/>
  <c r="E97" i="2"/>
  <c r="D97" i="2"/>
  <c r="C97" i="2"/>
  <c r="B97" i="2"/>
  <c r="A97" i="2"/>
  <c r="K96" i="2"/>
  <c r="J96" i="2"/>
  <c r="I96" i="2"/>
  <c r="H96" i="2"/>
  <c r="G96" i="2"/>
  <c r="F96" i="2"/>
  <c r="E96" i="2"/>
  <c r="D96" i="2"/>
  <c r="C96" i="2"/>
  <c r="B96" i="2"/>
  <c r="A96" i="2"/>
  <c r="K95" i="2"/>
  <c r="J95" i="2"/>
  <c r="I95" i="2"/>
  <c r="H95" i="2"/>
  <c r="G95" i="2"/>
  <c r="F95" i="2"/>
  <c r="E95" i="2"/>
  <c r="D95" i="2"/>
  <c r="C95" i="2"/>
  <c r="B95" i="2"/>
  <c r="A95" i="2"/>
  <c r="K94" i="2"/>
  <c r="J94" i="2"/>
  <c r="I94" i="2"/>
  <c r="H94" i="2"/>
  <c r="G94" i="2"/>
  <c r="F94" i="2"/>
  <c r="E94" i="2"/>
  <c r="D94" i="2"/>
  <c r="C94" i="2"/>
  <c r="B94" i="2"/>
  <c r="A94" i="2"/>
  <c r="K93" i="2"/>
  <c r="J93" i="2"/>
  <c r="I93" i="2"/>
  <c r="H93" i="2"/>
  <c r="G93" i="2"/>
  <c r="F93" i="2"/>
  <c r="E93" i="2"/>
  <c r="D93" i="2"/>
  <c r="C93" i="2"/>
  <c r="B93" i="2"/>
  <c r="A93" i="2"/>
  <c r="K92" i="2"/>
  <c r="J92" i="2"/>
  <c r="I92" i="2"/>
  <c r="H92" i="2"/>
  <c r="G92" i="2"/>
  <c r="F92" i="2"/>
  <c r="E92" i="2"/>
  <c r="D92" i="2"/>
  <c r="C92" i="2"/>
  <c r="B92" i="2"/>
  <c r="A92" i="2"/>
  <c r="K91" i="2"/>
  <c r="J91" i="2"/>
  <c r="I91" i="2"/>
  <c r="H91" i="2"/>
  <c r="G91" i="2"/>
  <c r="F91" i="2"/>
  <c r="E91" i="2"/>
  <c r="D91" i="2"/>
  <c r="C91" i="2"/>
  <c r="B91" i="2"/>
  <c r="A91" i="2"/>
  <c r="K90" i="2"/>
  <c r="J90" i="2"/>
  <c r="I90" i="2"/>
  <c r="H90" i="2"/>
  <c r="G90" i="2"/>
  <c r="F90" i="2"/>
  <c r="E90" i="2"/>
  <c r="D90" i="2"/>
  <c r="C90" i="2"/>
  <c r="B90" i="2"/>
  <c r="A90" i="2"/>
  <c r="K89" i="2"/>
  <c r="J89" i="2"/>
  <c r="I89" i="2"/>
  <c r="H89" i="2"/>
  <c r="G89" i="2"/>
  <c r="F89" i="2"/>
  <c r="E89" i="2"/>
  <c r="D89" i="2"/>
  <c r="C89" i="2"/>
  <c r="B89" i="2"/>
  <c r="A89" i="2"/>
  <c r="K88" i="2"/>
  <c r="J88" i="2"/>
  <c r="I88" i="2"/>
  <c r="H88" i="2"/>
  <c r="G88" i="2"/>
  <c r="F88" i="2"/>
  <c r="E88" i="2"/>
  <c r="D88" i="2"/>
  <c r="C88" i="2"/>
  <c r="B88" i="2"/>
  <c r="A88" i="2"/>
  <c r="K87" i="2"/>
  <c r="J87" i="2"/>
  <c r="I87" i="2"/>
  <c r="H87" i="2"/>
  <c r="G87" i="2"/>
  <c r="F87" i="2"/>
  <c r="E87" i="2"/>
  <c r="D87" i="2"/>
  <c r="C87" i="2"/>
  <c r="B87" i="2"/>
  <c r="A87" i="2"/>
  <c r="K86" i="2"/>
  <c r="J86" i="2"/>
  <c r="I86" i="2"/>
  <c r="H86" i="2"/>
  <c r="G86" i="2"/>
  <c r="F86" i="2"/>
  <c r="E86" i="2"/>
  <c r="D86" i="2"/>
  <c r="C86" i="2"/>
  <c r="B86" i="2"/>
  <c r="A86" i="2"/>
  <c r="K85" i="2"/>
  <c r="J85" i="2"/>
  <c r="I85" i="2"/>
  <c r="H85" i="2"/>
  <c r="G85" i="2"/>
  <c r="F85" i="2"/>
  <c r="E85" i="2"/>
  <c r="D85" i="2"/>
  <c r="C85" i="2"/>
  <c r="B85" i="2"/>
  <c r="A85" i="2"/>
  <c r="K84" i="2"/>
  <c r="J84" i="2"/>
  <c r="I84" i="2"/>
  <c r="H84" i="2"/>
  <c r="G84" i="2"/>
  <c r="F84" i="2"/>
  <c r="E84" i="2"/>
  <c r="D84" i="2"/>
  <c r="C84" i="2"/>
  <c r="B84" i="2"/>
  <c r="A84" i="2"/>
  <c r="K83" i="2"/>
  <c r="J83" i="2"/>
  <c r="I83" i="2"/>
  <c r="H83" i="2"/>
  <c r="G83" i="2"/>
  <c r="F83" i="2"/>
  <c r="E83" i="2"/>
  <c r="D83" i="2"/>
  <c r="C83" i="2"/>
  <c r="B83" i="2"/>
  <c r="A83" i="2"/>
  <c r="K82" i="2"/>
  <c r="J82" i="2"/>
  <c r="I82" i="2"/>
  <c r="H82" i="2"/>
  <c r="G82" i="2"/>
  <c r="F82" i="2"/>
  <c r="E82" i="2"/>
  <c r="D82" i="2"/>
  <c r="C82" i="2"/>
  <c r="B82" i="2"/>
  <c r="A82" i="2"/>
  <c r="K81" i="2"/>
  <c r="J81" i="2"/>
  <c r="I81" i="2"/>
  <c r="H81" i="2"/>
  <c r="G81" i="2"/>
  <c r="F81" i="2"/>
  <c r="E81" i="2"/>
  <c r="D81" i="2"/>
  <c r="C81" i="2"/>
  <c r="B81" i="2"/>
  <c r="A81" i="2"/>
  <c r="K80" i="2"/>
  <c r="J80" i="2"/>
  <c r="I80" i="2"/>
  <c r="H80" i="2"/>
  <c r="G80" i="2"/>
  <c r="F80" i="2"/>
  <c r="E80" i="2"/>
  <c r="D80" i="2"/>
  <c r="C80" i="2"/>
  <c r="B80" i="2"/>
  <c r="A80" i="2"/>
  <c r="K79" i="2"/>
  <c r="J79" i="2"/>
  <c r="I79" i="2"/>
  <c r="H79" i="2"/>
  <c r="G79" i="2"/>
  <c r="F79" i="2"/>
  <c r="E79" i="2"/>
  <c r="D79" i="2"/>
  <c r="C79" i="2"/>
  <c r="B79" i="2"/>
  <c r="A79" i="2"/>
  <c r="K78" i="2"/>
  <c r="J78" i="2"/>
  <c r="I78" i="2"/>
  <c r="H78" i="2"/>
  <c r="G78" i="2"/>
  <c r="F78" i="2"/>
  <c r="E78" i="2"/>
  <c r="D78" i="2"/>
  <c r="C78" i="2"/>
  <c r="B78" i="2"/>
  <c r="A78" i="2"/>
  <c r="K77" i="2"/>
  <c r="J77" i="2"/>
  <c r="I77" i="2"/>
  <c r="H77" i="2"/>
  <c r="G77" i="2"/>
  <c r="F77" i="2"/>
  <c r="E77" i="2"/>
  <c r="D77" i="2"/>
  <c r="C77" i="2"/>
  <c r="B77" i="2"/>
  <c r="A77" i="2"/>
  <c r="K76" i="2"/>
  <c r="J76" i="2"/>
  <c r="I76" i="2"/>
  <c r="H76" i="2"/>
  <c r="G76" i="2"/>
  <c r="F76" i="2"/>
  <c r="E76" i="2"/>
  <c r="D76" i="2"/>
  <c r="C76" i="2"/>
  <c r="B76" i="2"/>
  <c r="A76" i="2"/>
  <c r="K75" i="2"/>
  <c r="J75" i="2"/>
  <c r="I75" i="2"/>
  <c r="H75" i="2"/>
  <c r="G75" i="2"/>
  <c r="F75" i="2"/>
  <c r="E75" i="2"/>
  <c r="D75" i="2"/>
  <c r="C75" i="2"/>
  <c r="B75" i="2"/>
  <c r="A75" i="2"/>
  <c r="K74" i="2"/>
  <c r="J74" i="2"/>
  <c r="I74" i="2"/>
  <c r="H74" i="2"/>
  <c r="G74" i="2"/>
  <c r="F74" i="2"/>
  <c r="E74" i="2"/>
  <c r="D74" i="2"/>
  <c r="C74" i="2"/>
  <c r="B74" i="2"/>
  <c r="A74" i="2"/>
  <c r="K73" i="2"/>
  <c r="J73" i="2"/>
  <c r="I73" i="2"/>
  <c r="H73" i="2"/>
  <c r="G73" i="2"/>
  <c r="F73" i="2"/>
  <c r="E73" i="2"/>
  <c r="D73" i="2"/>
  <c r="C73" i="2"/>
  <c r="B73" i="2"/>
  <c r="A73" i="2"/>
  <c r="K72" i="2"/>
  <c r="J72" i="2"/>
  <c r="I72" i="2"/>
  <c r="H72" i="2"/>
  <c r="G72" i="2"/>
  <c r="F72" i="2"/>
  <c r="E72" i="2"/>
  <c r="D72" i="2"/>
  <c r="C72" i="2"/>
  <c r="B72" i="2"/>
  <c r="A72" i="2"/>
  <c r="K71" i="2"/>
  <c r="J71" i="2"/>
  <c r="I71" i="2"/>
  <c r="H71" i="2"/>
  <c r="G71" i="2"/>
  <c r="F71" i="2"/>
  <c r="E71" i="2"/>
  <c r="D71" i="2"/>
  <c r="C71" i="2"/>
  <c r="B71" i="2"/>
  <c r="A71" i="2"/>
  <c r="K70" i="2"/>
  <c r="J70" i="2"/>
  <c r="I70" i="2"/>
  <c r="H70" i="2"/>
  <c r="G70" i="2"/>
  <c r="F70" i="2"/>
  <c r="E70" i="2"/>
  <c r="D70" i="2"/>
  <c r="C70" i="2"/>
  <c r="B70" i="2"/>
  <c r="A70" i="2"/>
  <c r="K69" i="2"/>
  <c r="J69" i="2"/>
  <c r="I69" i="2"/>
  <c r="H69" i="2"/>
  <c r="G69" i="2"/>
  <c r="F69" i="2"/>
  <c r="E69" i="2"/>
  <c r="D69" i="2"/>
  <c r="C69" i="2"/>
  <c r="B69" i="2"/>
  <c r="A69" i="2"/>
  <c r="K68" i="2"/>
  <c r="J68" i="2"/>
  <c r="I68" i="2"/>
  <c r="H68" i="2"/>
  <c r="G68" i="2"/>
  <c r="F68" i="2"/>
  <c r="E68" i="2"/>
  <c r="D68" i="2"/>
  <c r="C68" i="2"/>
  <c r="B68" i="2"/>
  <c r="A68" i="2"/>
  <c r="K67" i="2"/>
  <c r="J67" i="2"/>
  <c r="I67" i="2"/>
  <c r="H67" i="2"/>
  <c r="G67" i="2"/>
  <c r="F67" i="2"/>
  <c r="E67" i="2"/>
  <c r="D67" i="2"/>
  <c r="C67" i="2"/>
  <c r="B67" i="2"/>
  <c r="A67" i="2"/>
  <c r="K66" i="2"/>
  <c r="J66" i="2"/>
  <c r="I66" i="2"/>
  <c r="H66" i="2"/>
  <c r="G66" i="2"/>
  <c r="F66" i="2"/>
  <c r="E66" i="2"/>
  <c r="D66" i="2"/>
  <c r="C66" i="2"/>
  <c r="B66" i="2"/>
  <c r="A66" i="2"/>
  <c r="K65" i="2"/>
  <c r="J65" i="2"/>
  <c r="I65" i="2"/>
  <c r="H65" i="2"/>
  <c r="G65" i="2"/>
  <c r="F65" i="2"/>
  <c r="E65" i="2"/>
  <c r="D65" i="2"/>
  <c r="C65" i="2"/>
  <c r="B65" i="2"/>
  <c r="A65" i="2"/>
  <c r="K64" i="2"/>
  <c r="J64" i="2"/>
  <c r="I64" i="2"/>
  <c r="H64" i="2"/>
  <c r="G64" i="2"/>
  <c r="F64" i="2"/>
  <c r="E64" i="2"/>
  <c r="D64" i="2"/>
  <c r="C64" i="2"/>
  <c r="B64" i="2"/>
  <c r="A64" i="2"/>
  <c r="K63" i="2"/>
  <c r="J63" i="2"/>
  <c r="I63" i="2"/>
  <c r="H63" i="2"/>
  <c r="G63" i="2"/>
  <c r="F63" i="2"/>
  <c r="E63" i="2"/>
  <c r="D63" i="2"/>
  <c r="C63" i="2"/>
  <c r="B63" i="2"/>
  <c r="A63" i="2"/>
  <c r="K62" i="2"/>
  <c r="J62" i="2"/>
  <c r="I62" i="2"/>
  <c r="H62" i="2"/>
  <c r="G62" i="2"/>
  <c r="F62" i="2"/>
  <c r="E62" i="2"/>
  <c r="D62" i="2"/>
  <c r="C62" i="2"/>
  <c r="B62" i="2"/>
  <c r="A62" i="2"/>
  <c r="K61" i="2"/>
  <c r="J61" i="2"/>
  <c r="I61" i="2"/>
  <c r="H61" i="2"/>
  <c r="G61" i="2"/>
  <c r="F61" i="2"/>
  <c r="E61" i="2"/>
  <c r="D61" i="2"/>
  <c r="C61" i="2"/>
  <c r="B61" i="2"/>
  <c r="A61" i="2"/>
  <c r="K60" i="2"/>
  <c r="J60" i="2"/>
  <c r="I60" i="2"/>
  <c r="H60" i="2"/>
  <c r="G60" i="2"/>
  <c r="F60" i="2"/>
  <c r="E60" i="2"/>
  <c r="D60" i="2"/>
  <c r="C60" i="2"/>
  <c r="B60" i="2"/>
  <c r="A60" i="2"/>
  <c r="K59" i="2"/>
  <c r="J59" i="2"/>
  <c r="I59" i="2"/>
  <c r="H59" i="2"/>
  <c r="G59" i="2"/>
  <c r="F59" i="2"/>
  <c r="E59" i="2"/>
  <c r="D59" i="2"/>
  <c r="C59" i="2"/>
  <c r="B59" i="2"/>
  <c r="A59" i="2"/>
  <c r="K58" i="2"/>
  <c r="J58" i="2"/>
  <c r="I58" i="2"/>
  <c r="H58" i="2"/>
  <c r="G58" i="2"/>
  <c r="F58" i="2"/>
  <c r="E58" i="2"/>
  <c r="D58" i="2"/>
  <c r="C58" i="2"/>
  <c r="B58" i="2"/>
  <c r="A58" i="2"/>
  <c r="K57" i="2"/>
  <c r="J57" i="2"/>
  <c r="I57" i="2"/>
  <c r="H57" i="2"/>
  <c r="G57" i="2"/>
  <c r="F57" i="2"/>
  <c r="E57" i="2"/>
  <c r="D57" i="2"/>
  <c r="C57" i="2"/>
  <c r="B57" i="2"/>
  <c r="A57" i="2"/>
  <c r="K56" i="2"/>
  <c r="J56" i="2"/>
  <c r="I56" i="2"/>
  <c r="H56" i="2"/>
  <c r="G56" i="2"/>
  <c r="F56" i="2"/>
  <c r="E56" i="2"/>
  <c r="D56" i="2"/>
  <c r="C56" i="2"/>
  <c r="B56" i="2"/>
  <c r="A56" i="2"/>
  <c r="K55" i="2"/>
  <c r="J55" i="2"/>
  <c r="I55" i="2"/>
  <c r="H55" i="2"/>
  <c r="G55" i="2"/>
  <c r="F55" i="2"/>
  <c r="E55" i="2"/>
  <c r="D55" i="2"/>
  <c r="C55" i="2"/>
  <c r="B55" i="2"/>
  <c r="A55" i="2"/>
  <c r="K54" i="2"/>
  <c r="J54" i="2"/>
  <c r="I54" i="2"/>
  <c r="H54" i="2"/>
  <c r="G54" i="2"/>
  <c r="F54" i="2"/>
  <c r="E54" i="2"/>
  <c r="D54" i="2"/>
  <c r="C54" i="2"/>
  <c r="B54" i="2"/>
  <c r="A54" i="2"/>
  <c r="K53" i="2"/>
  <c r="J53" i="2"/>
  <c r="I53" i="2"/>
  <c r="H53" i="2"/>
  <c r="G53" i="2"/>
  <c r="F53" i="2"/>
  <c r="E53" i="2"/>
  <c r="D53" i="2"/>
  <c r="C53" i="2"/>
  <c r="B53" i="2"/>
  <c r="A53" i="2"/>
  <c r="K52" i="2"/>
  <c r="J52" i="2"/>
  <c r="I52" i="2"/>
  <c r="H52" i="2"/>
  <c r="G52" i="2"/>
  <c r="F52" i="2"/>
  <c r="E52" i="2"/>
  <c r="D52" i="2"/>
  <c r="C52" i="2"/>
  <c r="B52" i="2"/>
  <c r="A52" i="2"/>
  <c r="K51" i="2"/>
  <c r="J51" i="2"/>
  <c r="I51" i="2"/>
  <c r="H51" i="2"/>
  <c r="G51" i="2"/>
  <c r="F51" i="2"/>
  <c r="E51" i="2"/>
  <c r="D51" i="2"/>
  <c r="C51" i="2"/>
  <c r="B51" i="2"/>
  <c r="A51" i="2"/>
  <c r="K50" i="2"/>
  <c r="J50" i="2"/>
  <c r="I50" i="2"/>
  <c r="H50" i="2"/>
  <c r="G50" i="2"/>
  <c r="F50" i="2"/>
  <c r="E50" i="2"/>
  <c r="D50" i="2"/>
  <c r="C50" i="2"/>
  <c r="B50" i="2"/>
  <c r="A50" i="2"/>
  <c r="K49" i="2"/>
  <c r="J49" i="2"/>
  <c r="I49" i="2"/>
  <c r="H49" i="2"/>
  <c r="G49" i="2"/>
  <c r="F49" i="2"/>
  <c r="E49" i="2"/>
  <c r="D49" i="2"/>
  <c r="C49" i="2"/>
  <c r="B49" i="2"/>
  <c r="A49" i="2"/>
  <c r="K48" i="2"/>
  <c r="J48" i="2"/>
  <c r="I48" i="2"/>
  <c r="H48" i="2"/>
  <c r="G48" i="2"/>
  <c r="F48" i="2"/>
  <c r="E48" i="2"/>
  <c r="D48" i="2"/>
  <c r="C48" i="2"/>
  <c r="B48" i="2"/>
  <c r="A48" i="2"/>
  <c r="K47" i="2"/>
  <c r="J47" i="2"/>
  <c r="I47" i="2"/>
  <c r="H47" i="2"/>
  <c r="G47" i="2"/>
  <c r="F47" i="2"/>
  <c r="E47" i="2"/>
  <c r="D47" i="2"/>
  <c r="C47" i="2"/>
  <c r="B47" i="2"/>
  <c r="A47" i="2"/>
  <c r="K46" i="2"/>
  <c r="J46" i="2"/>
  <c r="I46" i="2"/>
  <c r="H46" i="2"/>
  <c r="G46" i="2"/>
  <c r="F46" i="2"/>
  <c r="E46" i="2"/>
  <c r="D46" i="2"/>
  <c r="C46" i="2"/>
  <c r="B46" i="2"/>
  <c r="A46" i="2"/>
  <c r="K45" i="2"/>
  <c r="J45" i="2"/>
  <c r="I45" i="2"/>
  <c r="H45" i="2"/>
  <c r="G45" i="2"/>
  <c r="F45" i="2"/>
  <c r="E45" i="2"/>
  <c r="D45" i="2"/>
  <c r="C45" i="2"/>
  <c r="B45" i="2"/>
  <c r="A45" i="2"/>
  <c r="K44" i="2"/>
  <c r="J44" i="2"/>
  <c r="I44" i="2"/>
  <c r="H44" i="2"/>
  <c r="G44" i="2"/>
  <c r="F44" i="2"/>
  <c r="E44" i="2"/>
  <c r="D44" i="2"/>
  <c r="C44" i="2"/>
  <c r="B44" i="2"/>
  <c r="A44" i="2"/>
  <c r="K43" i="2"/>
  <c r="J43" i="2"/>
  <c r="I43" i="2"/>
  <c r="H43" i="2"/>
  <c r="G43" i="2"/>
  <c r="F43" i="2"/>
  <c r="E43" i="2"/>
  <c r="D43" i="2"/>
  <c r="C43" i="2"/>
  <c r="B43" i="2"/>
  <c r="A43" i="2"/>
  <c r="K42" i="2"/>
  <c r="J42" i="2"/>
  <c r="I42" i="2"/>
  <c r="H42" i="2"/>
  <c r="G42" i="2"/>
  <c r="F42" i="2"/>
  <c r="E42" i="2"/>
  <c r="D42" i="2"/>
  <c r="C42" i="2"/>
  <c r="B42" i="2"/>
  <c r="A42" i="2"/>
  <c r="K41" i="2"/>
  <c r="J41" i="2"/>
  <c r="I41" i="2"/>
  <c r="H41" i="2"/>
  <c r="G41" i="2"/>
  <c r="F41" i="2"/>
  <c r="E41" i="2"/>
  <c r="D41" i="2"/>
  <c r="C41" i="2"/>
  <c r="B41" i="2"/>
  <c r="A41" i="2"/>
  <c r="K40" i="2"/>
  <c r="J40" i="2"/>
  <c r="I40" i="2"/>
  <c r="H40" i="2"/>
  <c r="G40" i="2"/>
  <c r="F40" i="2"/>
  <c r="E40" i="2"/>
  <c r="D40" i="2"/>
  <c r="C40" i="2"/>
  <c r="B40" i="2"/>
  <c r="A40" i="2"/>
  <c r="K39" i="2"/>
  <c r="J39" i="2"/>
  <c r="I39" i="2"/>
  <c r="H39" i="2"/>
  <c r="G39" i="2"/>
  <c r="F39" i="2"/>
  <c r="E39" i="2"/>
  <c r="D39" i="2"/>
  <c r="C39" i="2"/>
  <c r="B39" i="2"/>
  <c r="A39" i="2"/>
  <c r="K38" i="2"/>
  <c r="J38" i="2"/>
  <c r="I38" i="2"/>
  <c r="H38" i="2"/>
  <c r="G38" i="2"/>
  <c r="F38" i="2"/>
  <c r="E38" i="2"/>
  <c r="D38" i="2"/>
  <c r="C38" i="2"/>
  <c r="B38" i="2"/>
  <c r="A38" i="2"/>
  <c r="K37" i="2"/>
  <c r="J37" i="2"/>
  <c r="I37" i="2"/>
  <c r="H37" i="2"/>
  <c r="G37" i="2"/>
  <c r="F37" i="2"/>
  <c r="E37" i="2"/>
  <c r="D37" i="2"/>
  <c r="C37" i="2"/>
  <c r="B37" i="2"/>
  <c r="A37" i="2"/>
  <c r="K36" i="2"/>
  <c r="J36" i="2"/>
  <c r="I36" i="2"/>
  <c r="H36" i="2"/>
  <c r="G36" i="2"/>
  <c r="F36" i="2"/>
  <c r="E36" i="2"/>
  <c r="D36" i="2"/>
  <c r="C36" i="2"/>
  <c r="B36" i="2"/>
  <c r="A36" i="2"/>
  <c r="K35" i="2"/>
  <c r="J35" i="2"/>
  <c r="I35" i="2"/>
  <c r="H35" i="2"/>
  <c r="G35" i="2"/>
  <c r="F35" i="2"/>
  <c r="E35" i="2"/>
  <c r="D35" i="2"/>
  <c r="C35" i="2"/>
  <c r="B35" i="2"/>
  <c r="A35" i="2"/>
  <c r="K34" i="2"/>
  <c r="J34" i="2"/>
  <c r="I34" i="2"/>
  <c r="H34" i="2"/>
  <c r="G34" i="2"/>
  <c r="F34" i="2"/>
  <c r="E34" i="2"/>
  <c r="D34" i="2"/>
  <c r="C34" i="2"/>
  <c r="B34" i="2"/>
  <c r="A34" i="2"/>
  <c r="K33" i="2"/>
  <c r="J33" i="2"/>
  <c r="I33" i="2"/>
  <c r="H33" i="2"/>
  <c r="G33" i="2"/>
  <c r="F33" i="2"/>
  <c r="E33" i="2"/>
  <c r="D33" i="2"/>
  <c r="C33" i="2"/>
  <c r="B33" i="2"/>
  <c r="A33" i="2"/>
  <c r="K32" i="2"/>
  <c r="J32" i="2"/>
  <c r="I32" i="2"/>
  <c r="H32" i="2"/>
  <c r="G32" i="2"/>
  <c r="F32" i="2"/>
  <c r="E32" i="2"/>
  <c r="D32" i="2"/>
  <c r="C32" i="2"/>
  <c r="B32" i="2"/>
  <c r="A32" i="2"/>
  <c r="K31" i="2"/>
  <c r="J31" i="2"/>
  <c r="I31" i="2"/>
  <c r="H31" i="2"/>
  <c r="G31" i="2"/>
  <c r="F31" i="2"/>
  <c r="E31" i="2"/>
  <c r="D31" i="2"/>
  <c r="C31" i="2"/>
  <c r="B31" i="2"/>
  <c r="A31" i="2"/>
  <c r="K30" i="2"/>
  <c r="J30" i="2"/>
  <c r="I30" i="2"/>
  <c r="H30" i="2"/>
  <c r="G30" i="2"/>
  <c r="F30" i="2"/>
  <c r="E30" i="2"/>
  <c r="D30" i="2"/>
  <c r="C30" i="2"/>
  <c r="B30" i="2"/>
  <c r="A30" i="2"/>
  <c r="K29" i="2"/>
  <c r="J29" i="2"/>
  <c r="I29" i="2"/>
  <c r="H29" i="2"/>
  <c r="G29" i="2"/>
  <c r="F29" i="2"/>
  <c r="E29" i="2"/>
  <c r="D29" i="2"/>
  <c r="C29" i="2"/>
  <c r="B29" i="2"/>
  <c r="A29" i="2"/>
  <c r="K28" i="2"/>
  <c r="J28" i="2"/>
  <c r="I28" i="2"/>
  <c r="H28" i="2"/>
  <c r="G28" i="2"/>
  <c r="F28" i="2"/>
  <c r="E28" i="2"/>
  <c r="D28" i="2"/>
  <c r="C28" i="2"/>
  <c r="B28" i="2"/>
  <c r="A28" i="2"/>
  <c r="K27" i="2"/>
  <c r="J27" i="2"/>
  <c r="I27" i="2"/>
  <c r="H27" i="2"/>
  <c r="G27" i="2"/>
  <c r="F27" i="2"/>
  <c r="E27" i="2"/>
  <c r="D27" i="2"/>
  <c r="C27" i="2"/>
  <c r="B27" i="2"/>
  <c r="A27" i="2"/>
  <c r="K26" i="2"/>
  <c r="J26" i="2"/>
  <c r="I26" i="2"/>
  <c r="H26" i="2"/>
  <c r="G26" i="2"/>
  <c r="F26" i="2"/>
  <c r="E26" i="2"/>
  <c r="D26" i="2"/>
  <c r="C26" i="2"/>
  <c r="B26" i="2"/>
  <c r="A26" i="2"/>
  <c r="K25" i="2"/>
  <c r="J25" i="2"/>
  <c r="I25" i="2"/>
  <c r="H25" i="2"/>
  <c r="G25" i="2"/>
  <c r="F25" i="2"/>
  <c r="E25" i="2"/>
  <c r="D25" i="2"/>
  <c r="C25" i="2"/>
  <c r="B25" i="2"/>
  <c r="A25" i="2"/>
  <c r="K24" i="2"/>
  <c r="J24" i="2"/>
  <c r="I24" i="2"/>
  <c r="H24" i="2"/>
  <c r="G24" i="2"/>
  <c r="F24" i="2"/>
  <c r="E24" i="2"/>
  <c r="D24" i="2"/>
  <c r="C24" i="2"/>
  <c r="B24" i="2"/>
  <c r="A24" i="2"/>
  <c r="K23" i="2"/>
  <c r="J23" i="2"/>
  <c r="I23" i="2"/>
  <c r="H23" i="2"/>
  <c r="G23" i="2"/>
  <c r="F23" i="2"/>
  <c r="E23" i="2"/>
  <c r="D23" i="2"/>
  <c r="C23" i="2"/>
  <c r="B23" i="2"/>
  <c r="A23" i="2"/>
  <c r="K22" i="2"/>
  <c r="J22" i="2"/>
  <c r="I22" i="2"/>
  <c r="H22" i="2"/>
  <c r="G22" i="2"/>
  <c r="F22" i="2"/>
  <c r="E22" i="2"/>
  <c r="D22" i="2"/>
  <c r="C22" i="2"/>
  <c r="B22" i="2"/>
  <c r="A22" i="2"/>
  <c r="K21" i="2"/>
  <c r="J21" i="2"/>
  <c r="I21" i="2"/>
  <c r="H21" i="2"/>
  <c r="G21" i="2"/>
  <c r="F21" i="2"/>
  <c r="E21" i="2"/>
  <c r="D21" i="2"/>
  <c r="C21" i="2"/>
  <c r="B21" i="2"/>
  <c r="A21" i="2"/>
  <c r="K20" i="2"/>
  <c r="J20" i="2"/>
  <c r="I20" i="2"/>
  <c r="H20" i="2"/>
  <c r="G20" i="2"/>
  <c r="F20" i="2"/>
  <c r="E20" i="2"/>
  <c r="D20" i="2"/>
  <c r="C20" i="2"/>
  <c r="B20" i="2"/>
  <c r="A20" i="2"/>
  <c r="K19" i="2"/>
  <c r="J19" i="2"/>
  <c r="I19" i="2"/>
  <c r="H19" i="2"/>
  <c r="G19" i="2"/>
  <c r="F19" i="2"/>
  <c r="E19" i="2"/>
  <c r="D19" i="2"/>
  <c r="C19" i="2"/>
  <c r="B19" i="2"/>
  <c r="A19" i="2"/>
  <c r="K18" i="2"/>
  <c r="J18" i="2"/>
  <c r="I18" i="2"/>
  <c r="H18" i="2"/>
  <c r="G18" i="2"/>
  <c r="F18" i="2"/>
  <c r="E18" i="2"/>
  <c r="D18" i="2"/>
  <c r="C18" i="2"/>
  <c r="B18" i="2"/>
  <c r="A18" i="2"/>
  <c r="K17" i="2"/>
  <c r="J17" i="2"/>
  <c r="I17" i="2"/>
  <c r="H17" i="2"/>
  <c r="G17" i="2"/>
  <c r="F17" i="2"/>
  <c r="E17" i="2"/>
  <c r="D17" i="2"/>
  <c r="C17" i="2"/>
  <c r="B17" i="2"/>
  <c r="A17" i="2"/>
  <c r="K16" i="2"/>
  <c r="J16" i="2"/>
  <c r="I16" i="2"/>
  <c r="H16" i="2"/>
  <c r="G16" i="2"/>
  <c r="F16" i="2"/>
  <c r="E16" i="2"/>
  <c r="D16" i="2"/>
  <c r="C16" i="2"/>
  <c r="B16" i="2"/>
  <c r="A16" i="2"/>
  <c r="K15" i="2"/>
  <c r="J15" i="2"/>
  <c r="I15" i="2"/>
  <c r="H15" i="2"/>
  <c r="G15" i="2"/>
  <c r="F15" i="2"/>
  <c r="E15" i="2"/>
  <c r="D15" i="2"/>
  <c r="C15" i="2"/>
  <c r="B15" i="2"/>
  <c r="A15" i="2"/>
  <c r="K14" i="2"/>
  <c r="J14" i="2"/>
  <c r="I14" i="2"/>
  <c r="H14" i="2"/>
  <c r="G14" i="2"/>
  <c r="F14" i="2"/>
  <c r="E14" i="2"/>
  <c r="D14" i="2"/>
  <c r="C14" i="2"/>
  <c r="B14" i="2"/>
  <c r="A14" i="2"/>
  <c r="K13" i="2"/>
  <c r="J13" i="2"/>
  <c r="I13" i="2"/>
  <c r="H13" i="2"/>
  <c r="G13" i="2"/>
  <c r="F13" i="2"/>
  <c r="E13" i="2"/>
  <c r="D13" i="2"/>
  <c r="C13" i="2"/>
  <c r="B13" i="2"/>
  <c r="A13" i="2"/>
  <c r="K12" i="2"/>
  <c r="J12" i="2"/>
  <c r="I12" i="2"/>
  <c r="H12" i="2"/>
  <c r="G12" i="2"/>
  <c r="F12" i="2"/>
  <c r="E12" i="2"/>
  <c r="D12" i="2"/>
  <c r="C12" i="2"/>
  <c r="B12" i="2"/>
  <c r="A12" i="2"/>
  <c r="K11" i="2"/>
  <c r="J11" i="2"/>
  <c r="I11" i="2"/>
  <c r="H11" i="2"/>
  <c r="G11" i="2"/>
  <c r="F11" i="2"/>
  <c r="E11" i="2"/>
  <c r="D11" i="2"/>
  <c r="C11" i="2"/>
  <c r="B11" i="2"/>
  <c r="A11" i="2"/>
  <c r="K10" i="2"/>
  <c r="J10" i="2"/>
  <c r="I10" i="2"/>
  <c r="H10" i="2"/>
  <c r="G10" i="2"/>
  <c r="F10" i="2"/>
  <c r="E10" i="2"/>
  <c r="D10" i="2"/>
  <c r="C10" i="2"/>
  <c r="B10" i="2"/>
  <c r="A10" i="2"/>
  <c r="K9" i="2"/>
  <c r="J9" i="2"/>
  <c r="I9" i="2"/>
  <c r="H9" i="2"/>
  <c r="G9" i="2"/>
  <c r="F9" i="2"/>
  <c r="E9" i="2"/>
  <c r="D9" i="2"/>
  <c r="C9" i="2"/>
  <c r="B9" i="2"/>
  <c r="A9" i="2"/>
  <c r="K8" i="2"/>
  <c r="J8" i="2"/>
  <c r="I8" i="2"/>
  <c r="H8" i="2"/>
  <c r="G8" i="2"/>
  <c r="F8" i="2"/>
  <c r="E8" i="2"/>
  <c r="D8" i="2"/>
  <c r="C8" i="2"/>
  <c r="B8" i="2"/>
  <c r="A8" i="2"/>
  <c r="K7" i="2"/>
  <c r="J7" i="2"/>
  <c r="I7" i="2"/>
  <c r="H7" i="2"/>
  <c r="G7" i="2"/>
  <c r="F7" i="2"/>
  <c r="E7" i="2"/>
  <c r="D7" i="2"/>
  <c r="C7" i="2"/>
  <c r="B7" i="2"/>
  <c r="A7" i="2"/>
  <c r="K6" i="2"/>
  <c r="J6" i="2"/>
  <c r="I6" i="2"/>
  <c r="H6" i="2"/>
  <c r="G6" i="2"/>
  <c r="F6" i="2"/>
  <c r="E6" i="2"/>
  <c r="D6" i="2"/>
  <c r="C6" i="2"/>
  <c r="B6" i="2"/>
  <c r="A6" i="2"/>
  <c r="K5" i="2"/>
  <c r="J5" i="2"/>
  <c r="I5" i="2"/>
  <c r="H5" i="2"/>
  <c r="G5" i="2"/>
  <c r="F5" i="2"/>
  <c r="E5" i="2"/>
  <c r="D5" i="2"/>
  <c r="C5" i="2"/>
  <c r="B5" i="2"/>
  <c r="A5" i="2"/>
  <c r="K4" i="2"/>
  <c r="J4" i="2"/>
  <c r="I4" i="2"/>
  <c r="H4" i="2"/>
  <c r="G4" i="2"/>
  <c r="F4" i="2"/>
  <c r="E4" i="2"/>
  <c r="D4" i="2"/>
  <c r="C4" i="2"/>
  <c r="B4" i="2"/>
  <c r="A4" i="2"/>
  <c r="K3" i="2"/>
  <c r="J3" i="2"/>
  <c r="I3" i="2"/>
  <c r="H3" i="2"/>
  <c r="G3" i="2"/>
  <c r="F3" i="2"/>
  <c r="E3" i="2"/>
  <c r="D3" i="2"/>
  <c r="C3" i="2"/>
  <c r="B3" i="2"/>
  <c r="A3" i="2"/>
  <c r="K2" i="2"/>
  <c r="J2" i="2"/>
  <c r="I2" i="2"/>
  <c r="H2" i="2"/>
  <c r="G2" i="2"/>
  <c r="G5" i="3" s="1"/>
  <c r="F2" i="2"/>
  <c r="F5" i="3" s="1"/>
  <c r="E2" i="2"/>
  <c r="E5" i="3" s="1"/>
  <c r="D2" i="2"/>
  <c r="D5" i="3" s="1"/>
  <c r="C2" i="2"/>
  <c r="B2" i="2"/>
  <c r="B5" i="3" s="1"/>
  <c r="A2" i="2"/>
  <c r="C4" i="6" l="1"/>
  <c r="B4" i="6"/>
  <c r="D4" i="6" s="1"/>
  <c r="B10" i="3"/>
  <c r="B6" i="6" s="1"/>
  <c r="C11" i="5"/>
  <c r="I11" i="3"/>
  <c r="I12" i="3"/>
  <c r="H11" i="5"/>
  <c r="D11" i="5"/>
  <c r="I5" i="3"/>
  <c r="I11" i="5"/>
  <c r="E11" i="5"/>
  <c r="F11" i="5"/>
  <c r="I6" i="3"/>
  <c r="I8" i="3" s="1"/>
  <c r="I10" i="3" s="1"/>
  <c r="B11" i="5"/>
  <c r="G11" i="5"/>
  <c r="H5" i="3"/>
  <c r="G10" i="5"/>
  <c r="D10" i="5"/>
  <c r="C10" i="5"/>
  <c r="H12" i="3"/>
  <c r="B10" i="5"/>
  <c r="H10" i="5"/>
  <c r="F10" i="5"/>
  <c r="H11" i="3"/>
  <c r="I10" i="5"/>
  <c r="G9" i="5"/>
  <c r="F9" i="5"/>
  <c r="H9" i="5"/>
  <c r="B9" i="5"/>
  <c r="G11" i="3"/>
  <c r="G12" i="3"/>
  <c r="C9" i="5"/>
  <c r="D9" i="5"/>
  <c r="I9" i="5"/>
  <c r="F11" i="3"/>
  <c r="D8" i="5"/>
  <c r="G8" i="5"/>
  <c r="C8" i="5"/>
  <c r="H8" i="5"/>
  <c r="F8" i="5"/>
  <c r="I8" i="5"/>
  <c r="B8" i="5"/>
  <c r="E12" i="3"/>
  <c r="E11" i="3"/>
  <c r="H6" i="5"/>
  <c r="I6" i="5"/>
  <c r="C6" i="5"/>
  <c r="F6" i="5"/>
  <c r="B6" i="5"/>
  <c r="G6" i="5"/>
  <c r="D11" i="3"/>
  <c r="D6" i="5"/>
  <c r="C6" i="3"/>
  <c r="C8" i="3" s="1"/>
  <c r="G5" i="5"/>
  <c r="C5" i="5"/>
  <c r="I5" i="5"/>
  <c r="B5" i="5"/>
  <c r="F5" i="5"/>
  <c r="D5" i="5"/>
  <c r="H5" i="5"/>
  <c r="C11" i="3"/>
  <c r="C4" i="5"/>
  <c r="H4" i="5"/>
  <c r="G4" i="5"/>
  <c r="B4" i="5"/>
  <c r="F4" i="5"/>
  <c r="B11" i="3"/>
  <c r="D4" i="5"/>
  <c r="I4" i="5"/>
  <c r="B13" i="5"/>
  <c r="K4" i="5"/>
  <c r="K5" i="3"/>
  <c r="K9" i="5"/>
  <c r="K6" i="5"/>
  <c r="K11" i="3"/>
  <c r="K11" i="5"/>
  <c r="K8" i="5"/>
  <c r="K10" i="5"/>
  <c r="J11" i="3"/>
  <c r="F12" i="5"/>
  <c r="C12" i="5"/>
  <c r="J6" i="5"/>
  <c r="J12" i="5"/>
  <c r="G12" i="5"/>
  <c r="J5" i="5"/>
  <c r="J11" i="5"/>
  <c r="B12" i="5"/>
  <c r="D12" i="5"/>
  <c r="J4" i="5"/>
  <c r="J9" i="5"/>
  <c r="I12" i="5"/>
  <c r="J8" i="5"/>
  <c r="H12" i="5"/>
  <c r="J10" i="5"/>
  <c r="J5" i="3"/>
  <c r="E9" i="5"/>
  <c r="C7" i="5"/>
  <c r="E8" i="5"/>
  <c r="J7" i="5"/>
  <c r="D7" i="5"/>
  <c r="E5" i="5"/>
  <c r="E6" i="5"/>
  <c r="H7" i="5"/>
  <c r="E7" i="5"/>
  <c r="B7" i="5"/>
  <c r="E12" i="5"/>
  <c r="I7" i="5"/>
  <c r="F7" i="5"/>
  <c r="K7" i="5"/>
  <c r="E4" i="5"/>
  <c r="E10" i="5"/>
  <c r="G7" i="5"/>
  <c r="F13" i="5"/>
  <c r="E13" i="5"/>
  <c r="D13" i="5"/>
  <c r="C13" i="5"/>
  <c r="I13" i="5"/>
  <c r="K13" i="5"/>
  <c r="J13" i="5"/>
  <c r="G13" i="5"/>
  <c r="H13" i="5"/>
  <c r="K5" i="5"/>
  <c r="C5" i="3"/>
  <c r="K10" i="3"/>
  <c r="H10" i="3"/>
  <c r="J10" i="3"/>
  <c r="G10" i="3"/>
  <c r="F10" i="3"/>
  <c r="E10" i="3"/>
  <c r="C5" i="6" l="1"/>
  <c r="D5" i="6" s="1"/>
  <c r="C10" i="3"/>
  <c r="C6" i="6" s="1"/>
  <c r="D6" i="6" s="1"/>
</calcChain>
</file>

<file path=xl/sharedStrings.xml><?xml version="1.0" encoding="utf-8"?>
<sst xmlns="http://schemas.openxmlformats.org/spreadsheetml/2006/main" count="139" uniqueCount="65">
  <si>
    <t>Date</t>
  </si>
  <si>
    <t>S&amp;P 500 Pure Growth</t>
  </si>
  <si>
    <t>S&amp;P 500 Pure Value</t>
  </si>
  <si>
    <t>BIL (1-3mo T-Bill / Cash)</t>
  </si>
  <si>
    <t>SPTL (Long Treasury)</t>
  </si>
  <si>
    <t>SPTI (Interm. Treasury)</t>
  </si>
  <si>
    <t>LQD (IG Corporate)</t>
  </si>
  <si>
    <t>PFF (Preferred)</t>
  </si>
  <si>
    <t>HYG (High Yield)</t>
  </si>
  <si>
    <t>MBB (Agency MBS)</t>
  </si>
  <si>
    <t>CMBS (CMBS)</t>
  </si>
  <si>
    <t>Source: Bloomberg Terminal, downloaded 6/18/2026 (BT HIST 10 YR Data). Monthly total-return levels, 5/31/2016-5/29/2026.</t>
  </si>
  <si>
    <t>Month End</t>
  </si>
  <si>
    <t>10-Year Risk &amp; Return Summary (June 2016 - May 2026, monthly data, N = 120)</t>
  </si>
  <si>
    <t>Sharpe ratio uses BIL (cash) as the risk-free return.</t>
  </si>
  <si>
    <t>Metric</t>
  </si>
  <si>
    <t>Avg Monthly Return</t>
  </si>
  <si>
    <t>Monthly Std Dev</t>
  </si>
  <si>
    <t>Annualized Return (CAGR)</t>
  </si>
  <si>
    <t>Annualized Std Dev</t>
  </si>
  <si>
    <t>Growth of $1 (10 yrs)</t>
  </si>
  <si>
    <t>Sharpe Ratio (vs. BIL)</t>
  </si>
  <si>
    <t>n.a.</t>
  </si>
  <si>
    <t>Best Month</t>
  </si>
  <si>
    <t>Worst Month</t>
  </si>
  <si>
    <t>2022 Rate-Shock Return</t>
  </si>
  <si>
    <t>Calendar-Year Total Returns</t>
  </si>
  <si>
    <t>Year</t>
  </si>
  <si>
    <t>2016 (Jun-Dec)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</si>
  <si>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</si>
  <si>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</si>
  <si>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</si>
  <si>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</si>
  <si>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</si>
  <si>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</si>
  <si>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</si>
  <si>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</si>
  <si>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</si>
  <si>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 YTD (May)</t>
  </si>
  <si>
    <t>Correlation Matrix of Monthly Returns (10 yrs)</t>
  </si>
  <si>
    <t>Equity Style Decision: S&amp;P 500 Pure Growth vs. Pure Value (10 yrs)</t>
  </si>
  <si>
    <t>Pure Growth</t>
  </si>
  <si>
    <t>Pure Value</t>
  </si>
  <si>
    <t>Growth minus Value</t>
  </si>
  <si>
    <t>Growth of $1</t>
  </si>
  <si>
    <t>2026 YTD (through May)</t>
  </si>
  <si>
    <t>Forward-Looking Fund Statistics (issuer factsheet data, June–July 2026)</t>
  </si>
  <si>
    <t>Sources: ssga.com and ishares.com fund pages. Dates vary by fund (shown in last column). n.a. = not published for that fund.</t>
  </si>
  <si>
    <t>Fund</t>
  </si>
  <si>
    <t>30-Day SEC Yield</t>
  </si>
  <si>
    <t>Yield to Maturity</t>
  </si>
  <si>
    <t>Effective Duration (yrs)</t>
  </si>
  <si>
    <t>Wtd Avg Maturity (yrs)</t>
  </si>
  <si>
    <t>Expense Ratio</t>
  </si>
  <si>
    <t>AUM ($B)</t>
  </si>
  <si>
    <t>Yield per Yr of Duration</t>
  </si>
  <si>
    <t>Data as of</t>
  </si>
  <si>
    <t>7/2/2026</t>
  </si>
  <si>
    <t>6/25/2026</t>
  </si>
  <si>
    <t>4/30–6/2/2026</t>
  </si>
  <si>
    <t>5/7/2026</t>
  </si>
  <si>
    <t>6/15/2026</t>
  </si>
  <si>
    <t>4/17/2026</t>
  </si>
  <si>
    <t>Note: CMBS effective duration/WAM not published on the fund page at retrieval; historically ~4 yrs. PFF holds perpetual preferreds (no stated maturity).</t>
  </si>
  <si>
    <t>Yield per Yr of Duration = YTM ÷ effective duration; a simple carry-vs-rate-risk efficiency measure.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</si>
</sst>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0.0%"/>
    <numFmt numFmtId="166" formatCode="\$0.00"/>
    <numFmt numFmtId="167" formatCode="\$0.0"/>
  </numFmts>
  <fonts count="9" x14ac:knownFonts="1">
    <font>
      <sz val="11"/>
      <color theme="1"/>
      <name val="Calibri"/>
      <family val="2"/>
      <charset val="1"/>
    </font>
    <font>
      <b/>
      <sz val="9"/>
      <color rgb="FF000000"/>
      <name val="Calibri"/>
      <family val="2"/>
    </font>
    <font>
      <sz val="11"/>
      <name val="Calibri"/>
      <family val="2"/>
    </font>
    <font>
      <sz val="9"/>
      <name val="Arial"/>
      <family val="2"/>
    </font>
    <font>
      <sz val="11"/>
      <color rgb="FF0000FF"/>
      <name val="Arial"/>
      <family val="2"/>
    </font>
    <font>
      <b/>
      <sz val="13"/>
      <color rgb="FF1F3A5F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1F3A5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0" fontId="2" fillId="0" borderId="0" xfId="0" applyNumberFormat="1" applyFont="1"/>
    <xf numFmtId="0" fontId="5" fillId="0" borderId="0" xfId="0" applyFont="1"/>
    <xf numFmtId="0" fontId="6" fillId="0" borderId="0" xfId="0" applyFont="1"/>
    <xf numFmtId="165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65" fontId="7" fillId="0" borderId="0" xfId="0" applyNumberFormat="1" applyFont="1"/>
    <xf numFmtId="2" fontId="7" fillId="0" borderId="0" xfId="0" applyNumberFormat="1" applyFont="1"/>
    <xf numFmtId="166" fontId="7" fillId="0" borderId="0" xfId="0" applyNumberFormat="1" applyFont="1"/>
    <xf numFmtId="10" fontId="4" fillId="0" borderId="0" xfId="0" applyNumberFormat="1" applyFont="1"/>
    <xf numFmtId="2" fontId="4" fillId="0" borderId="0" xfId="0" applyNumberFormat="1" applyFont="1"/>
    <xf numFmtId="167" fontId="4" fillId="0" borderId="0" xfId="0" applyNumberFormat="1" applyFont="1"/>
    <xf numFmtId="0" fontId="8" fillId="0" borderId="0" xfId="0" applyFont="1" applyAlignment="1">
      <alignment horizontal="right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zoomScaleNormal="100" workbookViewId="0">
      <pane xSplit="1" ySplit="1" topLeftCell="B1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12" customWidth="1"/>
    <col min="2" max="11" width="22" customWidth="1"/>
  </cols>
  <sheetData>
    <row r="1" spans="1:13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 t="s">
        <v>11</v>
      </c>
    </row>
    <row r="2" spans="1:13" ht="15" customHeight="1" x14ac:dyDescent="0.35">
      <c r="A2" s="4">
        <v>42521</v>
      </c>
      <c r="B2" s="19">
        <v>9483.2999999999993</v>
      </c>
      <c r="C2" s="19">
        <v>9162.4500000000007</v>
      </c>
      <c r="D2" s="19">
        <v>91.42</v>
      </c>
      <c r="E2" s="19">
        <v>38.670999999999999</v>
      </c>
      <c r="F2" s="19">
        <v>30.837499999999999</v>
      </c>
      <c r="G2" s="19">
        <v>124.2161</v>
      </c>
      <c r="H2" s="19">
        <v>42.353700000000003</v>
      </c>
      <c r="I2" s="19">
        <v>89.275400000000005</v>
      </c>
      <c r="J2" s="19">
        <v>112.85</v>
      </c>
      <c r="K2" s="19">
        <v>53.744700000000002</v>
      </c>
      <c r="L2" s="2"/>
      <c r="M2" s="2"/>
    </row>
    <row r="3" spans="1:13" ht="15" customHeight="1" x14ac:dyDescent="0.35">
      <c r="A3" s="4">
        <v>42551</v>
      </c>
      <c r="B3" s="19">
        <v>9407.2199999999993</v>
      </c>
      <c r="C3" s="19">
        <v>9054.7800000000007</v>
      </c>
      <c r="D3" s="19">
        <v>91.4</v>
      </c>
      <c r="E3" s="19">
        <v>41.186</v>
      </c>
      <c r="F3" s="19">
        <v>31.295100000000001</v>
      </c>
      <c r="G3" s="19">
        <v>128.05439999999999</v>
      </c>
      <c r="H3" s="19">
        <v>42.854700000000001</v>
      </c>
      <c r="I3" s="19">
        <v>90.875</v>
      </c>
      <c r="J3" s="19">
        <v>113.6846</v>
      </c>
      <c r="K3" s="19">
        <v>54.725099999999998</v>
      </c>
      <c r="L3" s="2"/>
      <c r="M3" s="2"/>
    </row>
    <row r="4" spans="1:13" ht="15" customHeight="1" x14ac:dyDescent="0.35">
      <c r="A4" s="4">
        <v>42580</v>
      </c>
      <c r="B4" s="19">
        <v>9870.98</v>
      </c>
      <c r="C4" s="19">
        <v>9455.0499999999993</v>
      </c>
      <c r="D4" s="19">
        <v>91.44</v>
      </c>
      <c r="E4" s="19">
        <v>42.015000000000001</v>
      </c>
      <c r="F4" s="19">
        <v>31.3249</v>
      </c>
      <c r="G4" s="19">
        <v>129.7123</v>
      </c>
      <c r="H4" s="19">
        <v>43.452599999999997</v>
      </c>
      <c r="I4" s="19">
        <v>92.0672</v>
      </c>
      <c r="J4" s="19">
        <v>114.0354</v>
      </c>
      <c r="K4" s="19">
        <v>55.099699999999999</v>
      </c>
      <c r="L4" s="2"/>
      <c r="M4" s="2"/>
    </row>
    <row r="5" spans="1:13" ht="15" customHeight="1" x14ac:dyDescent="0.35">
      <c r="A5" s="4">
        <v>42613</v>
      </c>
      <c r="B5" s="19">
        <v>9818.51</v>
      </c>
      <c r="C5" s="19">
        <v>9423.1299999999992</v>
      </c>
      <c r="D5" s="19">
        <v>91.44</v>
      </c>
      <c r="E5" s="19">
        <v>41.578899999999997</v>
      </c>
      <c r="F5" s="19">
        <v>31.147400000000001</v>
      </c>
      <c r="G5" s="19">
        <v>129.9478</v>
      </c>
      <c r="H5" s="19">
        <v>43.463200000000001</v>
      </c>
      <c r="I5" s="19">
        <v>93.881299999999996</v>
      </c>
      <c r="J5" s="19">
        <v>114.0179</v>
      </c>
      <c r="K5" s="19">
        <v>54.95</v>
      </c>
      <c r="L5" s="2"/>
      <c r="M5" s="2"/>
    </row>
    <row r="6" spans="1:13" ht="15" customHeight="1" x14ac:dyDescent="0.35">
      <c r="A6" s="4">
        <v>42643</v>
      </c>
      <c r="B6" s="19">
        <v>9806.85</v>
      </c>
      <c r="C6" s="19">
        <v>9442.5400000000009</v>
      </c>
      <c r="D6" s="19">
        <v>91.46</v>
      </c>
      <c r="E6" s="19">
        <v>41.015799999999999</v>
      </c>
      <c r="F6" s="19">
        <v>31.228899999999999</v>
      </c>
      <c r="G6" s="19">
        <v>129.53749999999999</v>
      </c>
      <c r="H6" s="19">
        <v>42.996299999999998</v>
      </c>
      <c r="I6" s="19">
        <v>94.893100000000004</v>
      </c>
      <c r="J6" s="19">
        <v>114.3659</v>
      </c>
      <c r="K6" s="19">
        <v>54.923900000000003</v>
      </c>
      <c r="L6" s="2"/>
      <c r="M6" s="2"/>
    </row>
    <row r="7" spans="1:13" ht="15" customHeight="1" x14ac:dyDescent="0.35">
      <c r="A7" s="4">
        <v>42674</v>
      </c>
      <c r="B7" s="19">
        <v>9560.7000000000007</v>
      </c>
      <c r="C7" s="19">
        <v>9349.5400000000009</v>
      </c>
      <c r="D7" s="19">
        <v>91.48</v>
      </c>
      <c r="E7" s="19">
        <v>39.285299999999999</v>
      </c>
      <c r="F7" s="19">
        <v>31.060199999999998</v>
      </c>
      <c r="G7" s="19">
        <v>127.55800000000001</v>
      </c>
      <c r="H7" s="19">
        <v>42.578600000000002</v>
      </c>
      <c r="I7" s="19">
        <v>93.960300000000004</v>
      </c>
      <c r="J7" s="19">
        <v>114.0517</v>
      </c>
      <c r="K7" s="19">
        <v>54.205199999999998</v>
      </c>
      <c r="L7" s="2"/>
      <c r="M7" s="2"/>
    </row>
    <row r="8" spans="1:13" ht="15" customHeight="1" x14ac:dyDescent="0.35">
      <c r="A8" s="4">
        <v>42704</v>
      </c>
      <c r="B8" s="19">
        <v>9712.9</v>
      </c>
      <c r="C8" s="19">
        <v>10149.98</v>
      </c>
      <c r="D8" s="19">
        <v>91.44</v>
      </c>
      <c r="E8" s="19">
        <v>36.178800000000003</v>
      </c>
      <c r="F8" s="19">
        <v>30.494</v>
      </c>
      <c r="G8" s="19">
        <v>123.5184</v>
      </c>
      <c r="H8" s="19">
        <v>41.161000000000001</v>
      </c>
      <c r="I8" s="19">
        <v>93.979200000000006</v>
      </c>
      <c r="J8" s="19">
        <v>111.9063</v>
      </c>
      <c r="K8" s="19">
        <v>53.109299999999998</v>
      </c>
      <c r="L8" s="2"/>
      <c r="M8" s="2"/>
    </row>
    <row r="9" spans="1:13" ht="15" customHeight="1" x14ac:dyDescent="0.35">
      <c r="A9" s="4">
        <v>42734</v>
      </c>
      <c r="B9" s="19">
        <v>9742.35</v>
      </c>
      <c r="C9" s="19">
        <v>10318.280000000001</v>
      </c>
      <c r="D9" s="19">
        <v>91.460800000000006</v>
      </c>
      <c r="E9" s="19">
        <v>36.0227</v>
      </c>
      <c r="F9" s="19">
        <v>30.494900000000001</v>
      </c>
      <c r="G9" s="19">
        <v>124.55629999999999</v>
      </c>
      <c r="H9" s="19">
        <v>41.289200000000001</v>
      </c>
      <c r="I9" s="19">
        <v>95.707899999999995</v>
      </c>
      <c r="J9" s="19">
        <v>111.77460000000001</v>
      </c>
      <c r="K9" s="19">
        <v>53.218600000000002</v>
      </c>
      <c r="L9" s="2"/>
      <c r="M9" s="2"/>
    </row>
    <row r="10" spans="1:13" ht="15" customHeight="1" x14ac:dyDescent="0.35">
      <c r="A10" s="4">
        <v>42766</v>
      </c>
      <c r="B10" s="19">
        <v>10027.040000000001</v>
      </c>
      <c r="C10" s="19">
        <v>10448.25</v>
      </c>
      <c r="D10" s="19">
        <v>91.500799999999998</v>
      </c>
      <c r="E10" s="19">
        <v>36.292000000000002</v>
      </c>
      <c r="F10" s="19">
        <v>30.5715</v>
      </c>
      <c r="G10" s="19">
        <v>124.73699999999999</v>
      </c>
      <c r="H10" s="19">
        <v>42.276800000000001</v>
      </c>
      <c r="I10" s="19">
        <v>96.581500000000005</v>
      </c>
      <c r="J10" s="19">
        <v>111.8797</v>
      </c>
      <c r="K10" s="19">
        <v>53.291499999999999</v>
      </c>
      <c r="L10" s="2"/>
      <c r="M10" s="2"/>
    </row>
    <row r="11" spans="1:13" ht="15" customHeight="1" x14ac:dyDescent="0.35">
      <c r="A11" s="4">
        <v>42794</v>
      </c>
      <c r="B11" s="19">
        <v>10335.06</v>
      </c>
      <c r="C11" s="19">
        <v>10889.54</v>
      </c>
      <c r="D11" s="19">
        <v>91.546000000000006</v>
      </c>
      <c r="E11" s="19">
        <v>36.880000000000003</v>
      </c>
      <c r="F11" s="19">
        <v>30.630600000000001</v>
      </c>
      <c r="G11" s="19">
        <v>126.38500000000001</v>
      </c>
      <c r="H11" s="19">
        <v>43.159500000000001</v>
      </c>
      <c r="I11" s="19">
        <v>98.0595</v>
      </c>
      <c r="J11" s="19">
        <v>112.40940000000001</v>
      </c>
      <c r="K11" s="19">
        <v>53.585999999999999</v>
      </c>
      <c r="L11" s="2"/>
      <c r="M11" s="2"/>
    </row>
    <row r="12" spans="1:13" ht="15" customHeight="1" x14ac:dyDescent="0.35">
      <c r="A12" s="4">
        <v>42825</v>
      </c>
      <c r="B12" s="19">
        <v>10489.33</v>
      </c>
      <c r="C12" s="19">
        <v>10621.35</v>
      </c>
      <c r="D12" s="19">
        <v>91.530299999999997</v>
      </c>
      <c r="E12" s="19">
        <v>36.621899999999997</v>
      </c>
      <c r="F12" s="19">
        <v>30.664300000000001</v>
      </c>
      <c r="G12" s="19">
        <v>126.0138</v>
      </c>
      <c r="H12" s="19">
        <v>43.374200000000002</v>
      </c>
      <c r="I12" s="19">
        <v>97.917400000000001</v>
      </c>
      <c r="J12" s="19">
        <v>112.42310000000001</v>
      </c>
      <c r="K12" s="19">
        <v>53.610900000000001</v>
      </c>
      <c r="L12" s="2"/>
      <c r="M12" s="2"/>
    </row>
    <row r="13" spans="1:13" ht="15" customHeight="1" x14ac:dyDescent="0.35">
      <c r="A13" s="4">
        <v>42853</v>
      </c>
      <c r="B13" s="19">
        <v>10696.57</v>
      </c>
      <c r="C13" s="19">
        <v>10623.46</v>
      </c>
      <c r="D13" s="19">
        <v>91.599299999999999</v>
      </c>
      <c r="E13" s="19">
        <v>37.201099999999997</v>
      </c>
      <c r="F13" s="19">
        <v>30.823399999999999</v>
      </c>
      <c r="G13" s="19">
        <v>127.5107</v>
      </c>
      <c r="H13" s="19">
        <v>43.936599999999999</v>
      </c>
      <c r="I13" s="19">
        <v>98.715900000000005</v>
      </c>
      <c r="J13" s="19">
        <v>113.1264</v>
      </c>
      <c r="K13" s="19">
        <v>53.936199999999999</v>
      </c>
      <c r="L13" s="2"/>
      <c r="M13" s="2"/>
    </row>
    <row r="14" spans="1:13" ht="15" customHeight="1" x14ac:dyDescent="0.35">
      <c r="A14" s="4">
        <v>42886</v>
      </c>
      <c r="B14" s="19">
        <v>11036.96</v>
      </c>
      <c r="C14" s="19">
        <v>10513.5</v>
      </c>
      <c r="D14" s="19">
        <v>91.6126</v>
      </c>
      <c r="E14" s="19">
        <v>37.871099999999998</v>
      </c>
      <c r="F14" s="19">
        <v>30.944700000000001</v>
      </c>
      <c r="G14" s="19">
        <v>129.21119999999999</v>
      </c>
      <c r="H14" s="19">
        <v>44.18</v>
      </c>
      <c r="I14" s="19">
        <v>99.733199999999997</v>
      </c>
      <c r="J14" s="19">
        <v>113.72069999999999</v>
      </c>
      <c r="K14" s="19">
        <v>54.369100000000003</v>
      </c>
      <c r="L14" s="2"/>
      <c r="M14" s="2"/>
    </row>
    <row r="15" spans="1:13" ht="15" customHeight="1" x14ac:dyDescent="0.35">
      <c r="A15" s="4">
        <v>42916</v>
      </c>
      <c r="B15" s="19">
        <v>11039.82</v>
      </c>
      <c r="C15" s="19">
        <v>10806.18</v>
      </c>
      <c r="D15" s="19">
        <v>91.706900000000005</v>
      </c>
      <c r="E15" s="19">
        <v>38.106000000000002</v>
      </c>
      <c r="F15" s="19">
        <v>30.8569</v>
      </c>
      <c r="G15" s="19">
        <v>129.8321</v>
      </c>
      <c r="H15" s="19">
        <v>44.5336</v>
      </c>
      <c r="I15" s="19">
        <v>99.864400000000003</v>
      </c>
      <c r="J15" s="19">
        <v>113.3719</v>
      </c>
      <c r="K15" s="19">
        <v>54.120899999999999</v>
      </c>
      <c r="L15" s="2"/>
      <c r="M15" s="2"/>
    </row>
    <row r="16" spans="1:13" ht="15" customHeight="1" x14ac:dyDescent="0.35">
      <c r="A16" s="4">
        <v>42947</v>
      </c>
      <c r="B16" s="19">
        <v>11404.96</v>
      </c>
      <c r="C16" s="19">
        <v>11051.67</v>
      </c>
      <c r="D16" s="19">
        <v>91.737399999999994</v>
      </c>
      <c r="E16" s="19">
        <v>37.910299999999999</v>
      </c>
      <c r="F16" s="19">
        <v>30.964099999999998</v>
      </c>
      <c r="G16" s="19">
        <v>130.82679999999999</v>
      </c>
      <c r="H16" s="19">
        <v>44.829000000000001</v>
      </c>
      <c r="I16" s="19">
        <v>100.88290000000001</v>
      </c>
      <c r="J16" s="19">
        <v>113.946</v>
      </c>
      <c r="K16" s="19">
        <v>54.551200000000001</v>
      </c>
      <c r="L16" s="2"/>
      <c r="M16" s="2"/>
    </row>
    <row r="17" spans="1:13" ht="15" customHeight="1" x14ac:dyDescent="0.35">
      <c r="A17" s="4">
        <v>42978</v>
      </c>
      <c r="B17" s="19">
        <v>11515.02</v>
      </c>
      <c r="C17" s="19">
        <v>10819.28</v>
      </c>
      <c r="D17" s="19">
        <v>91.841099999999997</v>
      </c>
      <c r="E17" s="19">
        <v>39.138399999999997</v>
      </c>
      <c r="F17" s="19">
        <v>31.143799999999999</v>
      </c>
      <c r="G17" s="19">
        <v>131.71129999999999</v>
      </c>
      <c r="H17" s="19">
        <v>44.801699999999997</v>
      </c>
      <c r="I17" s="19">
        <v>100.9482</v>
      </c>
      <c r="J17" s="19">
        <v>114.76739999999999</v>
      </c>
      <c r="K17" s="19">
        <v>55.190199999999997</v>
      </c>
      <c r="L17" s="2"/>
      <c r="M17" s="2"/>
    </row>
    <row r="18" spans="1:13" ht="15" customHeight="1" x14ac:dyDescent="0.35">
      <c r="A18" s="4">
        <v>43007</v>
      </c>
      <c r="B18" s="19">
        <v>11764.1</v>
      </c>
      <c r="C18" s="19">
        <v>11227.83</v>
      </c>
      <c r="D18" s="19">
        <v>91.907200000000003</v>
      </c>
      <c r="E18" s="19">
        <v>38.279600000000002</v>
      </c>
      <c r="F18" s="19">
        <v>30.959299999999999</v>
      </c>
      <c r="G18" s="19">
        <v>131.64779999999999</v>
      </c>
      <c r="H18" s="19">
        <v>44.729599999999998</v>
      </c>
      <c r="I18" s="19">
        <v>101.5545</v>
      </c>
      <c r="J18" s="19">
        <v>114.401</v>
      </c>
      <c r="K18" s="19">
        <v>54.616700000000002</v>
      </c>
      <c r="L18" s="2"/>
      <c r="M18" s="2"/>
    </row>
    <row r="19" spans="1:13" ht="15" customHeight="1" x14ac:dyDescent="0.35">
      <c r="A19" s="4">
        <v>43039</v>
      </c>
      <c r="B19" s="19">
        <v>12174.37</v>
      </c>
      <c r="C19" s="19">
        <v>11398.85</v>
      </c>
      <c r="D19" s="19">
        <v>91.971000000000004</v>
      </c>
      <c r="E19" s="19">
        <v>38.2744</v>
      </c>
      <c r="F19" s="19">
        <v>30.9192</v>
      </c>
      <c r="G19" s="19">
        <v>131.90090000000001</v>
      </c>
      <c r="H19" s="19">
        <v>44.562399999999997</v>
      </c>
      <c r="I19" s="19">
        <v>101.6409</v>
      </c>
      <c r="J19" s="19">
        <v>114.41719999999999</v>
      </c>
      <c r="K19" s="19">
        <v>54.741500000000002</v>
      </c>
      <c r="L19" s="2"/>
      <c r="M19" s="2"/>
    </row>
    <row r="20" spans="1:13" ht="15" customHeight="1" x14ac:dyDescent="0.35">
      <c r="A20" s="4">
        <v>43069</v>
      </c>
      <c r="B20" s="19">
        <v>12461.77</v>
      </c>
      <c r="C20" s="19">
        <v>11937.75</v>
      </c>
      <c r="D20" s="19">
        <v>92.020600000000002</v>
      </c>
      <c r="E20" s="19">
        <v>38.506700000000002</v>
      </c>
      <c r="F20" s="19">
        <v>30.844200000000001</v>
      </c>
      <c r="G20" s="19">
        <v>131.7379</v>
      </c>
      <c r="H20" s="19">
        <v>44.866</v>
      </c>
      <c r="I20" s="19">
        <v>101.2671</v>
      </c>
      <c r="J20" s="19">
        <v>114.25020000000001</v>
      </c>
      <c r="K20" s="19">
        <v>54.597700000000003</v>
      </c>
      <c r="L20" s="2"/>
      <c r="M20" s="2"/>
    </row>
    <row r="21" spans="1:13" ht="15" customHeight="1" x14ac:dyDescent="0.35">
      <c r="A21" s="4">
        <v>43098</v>
      </c>
      <c r="B21" s="19">
        <v>12349.2</v>
      </c>
      <c r="C21" s="19">
        <v>12147.36</v>
      </c>
      <c r="D21" s="19">
        <v>92.088499999999996</v>
      </c>
      <c r="E21" s="19">
        <v>39.271700000000003</v>
      </c>
      <c r="F21" s="19">
        <v>30.811199999999999</v>
      </c>
      <c r="G21" s="19">
        <v>133.3443</v>
      </c>
      <c r="H21" s="19">
        <v>44.633200000000002</v>
      </c>
      <c r="I21" s="19">
        <v>101.5157</v>
      </c>
      <c r="J21" s="19">
        <v>114.55500000000001</v>
      </c>
      <c r="K21" s="19">
        <v>54.787599999999998</v>
      </c>
      <c r="L21" s="2"/>
      <c r="M21" s="2"/>
    </row>
    <row r="22" spans="1:13" ht="15" customHeight="1" x14ac:dyDescent="0.35">
      <c r="A22" s="4">
        <v>43131</v>
      </c>
      <c r="B22" s="19">
        <v>13378.59</v>
      </c>
      <c r="C22" s="19">
        <v>12713.87</v>
      </c>
      <c r="D22" s="19">
        <v>92.209400000000002</v>
      </c>
      <c r="E22" s="19">
        <v>37.940800000000003</v>
      </c>
      <c r="F22" s="19">
        <v>30.517900000000001</v>
      </c>
      <c r="G22" s="19">
        <v>131.7098</v>
      </c>
      <c r="H22" s="19">
        <v>44.105600000000003</v>
      </c>
      <c r="I22" s="19">
        <v>101.5622</v>
      </c>
      <c r="J22" s="19">
        <v>113.23309999999999</v>
      </c>
      <c r="K22" s="19">
        <v>54.253300000000003</v>
      </c>
      <c r="L22" s="2"/>
      <c r="M22" s="2"/>
    </row>
    <row r="23" spans="1:13" ht="15" customHeight="1" x14ac:dyDescent="0.35">
      <c r="A23" s="4">
        <v>43159</v>
      </c>
      <c r="B23" s="19">
        <v>13140.04</v>
      </c>
      <c r="C23" s="19">
        <v>12134.57</v>
      </c>
      <c r="D23" s="19">
        <v>92.286199999999994</v>
      </c>
      <c r="E23" s="19">
        <v>36.811999999999998</v>
      </c>
      <c r="F23" s="19">
        <v>30.43</v>
      </c>
      <c r="G23" s="19">
        <v>128.76519999999999</v>
      </c>
      <c r="H23" s="19">
        <v>44.223799999999997</v>
      </c>
      <c r="I23" s="19">
        <v>100.6824</v>
      </c>
      <c r="J23" s="19">
        <v>112.4864</v>
      </c>
      <c r="K23" s="19">
        <v>53.9953</v>
      </c>
      <c r="L23" s="2"/>
      <c r="M23" s="2"/>
    </row>
    <row r="24" spans="1:13" ht="15" customHeight="1" x14ac:dyDescent="0.35">
      <c r="A24" s="4">
        <v>43189</v>
      </c>
      <c r="B24" s="19">
        <v>12947.59</v>
      </c>
      <c r="C24" s="19">
        <v>11906</v>
      </c>
      <c r="D24" s="19">
        <v>92.406599999999997</v>
      </c>
      <c r="E24" s="19">
        <v>37.830199999999998</v>
      </c>
      <c r="F24" s="19">
        <v>30.5731</v>
      </c>
      <c r="G24" s="19">
        <v>129.4828</v>
      </c>
      <c r="H24" s="19">
        <v>44.4636</v>
      </c>
      <c r="I24" s="19">
        <v>100.452</v>
      </c>
      <c r="J24" s="19">
        <v>112.9932</v>
      </c>
      <c r="K24" s="19">
        <v>54.0501</v>
      </c>
      <c r="L24" s="2"/>
      <c r="M24" s="2"/>
    </row>
    <row r="25" spans="1:13" ht="15" customHeight="1" x14ac:dyDescent="0.35">
      <c r="A25" s="4">
        <v>43220</v>
      </c>
      <c r="B25" s="19">
        <v>12879.77</v>
      </c>
      <c r="C25" s="19">
        <v>12239.99</v>
      </c>
      <c r="D25" s="19">
        <v>92.502499999999998</v>
      </c>
      <c r="E25" s="19">
        <v>37.060600000000001</v>
      </c>
      <c r="F25" s="19">
        <v>30.399100000000001</v>
      </c>
      <c r="G25" s="19">
        <v>127.4552</v>
      </c>
      <c r="H25" s="19">
        <v>44.150100000000002</v>
      </c>
      <c r="I25" s="19">
        <v>100.9358</v>
      </c>
      <c r="J25" s="19">
        <v>112.3702</v>
      </c>
      <c r="K25" s="19">
        <v>53.599200000000003</v>
      </c>
      <c r="L25" s="2"/>
      <c r="M25" s="2"/>
    </row>
    <row r="26" spans="1:13" ht="15" customHeight="1" x14ac:dyDescent="0.35">
      <c r="A26" s="4">
        <v>43251</v>
      </c>
      <c r="B26" s="19">
        <v>13501.3</v>
      </c>
      <c r="C26" s="19">
        <v>12149.98</v>
      </c>
      <c r="D26" s="19">
        <v>92.641400000000004</v>
      </c>
      <c r="E26" s="19">
        <v>37.780700000000003</v>
      </c>
      <c r="F26" s="19">
        <v>30.6464</v>
      </c>
      <c r="G26" s="19">
        <v>128.12119999999999</v>
      </c>
      <c r="H26" s="19">
        <v>44.509</v>
      </c>
      <c r="I26" s="19">
        <v>100.986</v>
      </c>
      <c r="J26" s="19">
        <v>113.1876</v>
      </c>
      <c r="K26" s="19">
        <v>54.225499999999997</v>
      </c>
      <c r="L26" s="2"/>
      <c r="M26" s="2"/>
    </row>
    <row r="27" spans="1:13" ht="15" customHeight="1" x14ac:dyDescent="0.35">
      <c r="A27" s="4">
        <v>43280</v>
      </c>
      <c r="B27" s="19">
        <v>13557.01</v>
      </c>
      <c r="C27" s="19">
        <v>12188.33</v>
      </c>
      <c r="D27" s="19">
        <v>92.779600000000002</v>
      </c>
      <c r="E27" s="19">
        <v>38.006700000000002</v>
      </c>
      <c r="F27" s="19">
        <v>30.6433</v>
      </c>
      <c r="G27" s="19">
        <v>127.4973</v>
      </c>
      <c r="H27" s="19">
        <v>45.293599999999998</v>
      </c>
      <c r="I27" s="19">
        <v>101.0852</v>
      </c>
      <c r="J27" s="19">
        <v>113.3169</v>
      </c>
      <c r="K27" s="19">
        <v>54.128</v>
      </c>
      <c r="L27" s="2"/>
      <c r="M27" s="2"/>
    </row>
    <row r="28" spans="1:13" ht="15" customHeight="1" x14ac:dyDescent="0.35">
      <c r="A28" s="4">
        <v>43312</v>
      </c>
      <c r="B28" s="19">
        <v>13744.38</v>
      </c>
      <c r="C28" s="19">
        <v>12614.79</v>
      </c>
      <c r="D28" s="19">
        <v>92.9084</v>
      </c>
      <c r="E28" s="19">
        <v>37.472499999999997</v>
      </c>
      <c r="F28" s="19">
        <v>30.547599999999999</v>
      </c>
      <c r="G28" s="19">
        <v>129.21109999999999</v>
      </c>
      <c r="H28" s="19">
        <v>45.381</v>
      </c>
      <c r="I28" s="19">
        <v>102.7807</v>
      </c>
      <c r="J28" s="19">
        <v>113.1233</v>
      </c>
      <c r="K28" s="19">
        <v>54.017400000000002</v>
      </c>
      <c r="L28" s="2"/>
      <c r="M28" s="2"/>
    </row>
    <row r="29" spans="1:13" ht="15" customHeight="1" x14ac:dyDescent="0.35">
      <c r="A29" s="4">
        <v>43343</v>
      </c>
      <c r="B29" s="19">
        <v>14299.13</v>
      </c>
      <c r="C29" s="19">
        <v>12873</v>
      </c>
      <c r="D29" s="19">
        <v>93.055599999999998</v>
      </c>
      <c r="E29" s="19">
        <v>37.965899999999998</v>
      </c>
      <c r="F29" s="19">
        <v>30.7623</v>
      </c>
      <c r="G29" s="19">
        <v>129.23769999999999</v>
      </c>
      <c r="H29" s="19">
        <v>46.019599999999997</v>
      </c>
      <c r="I29" s="19">
        <v>103.5077</v>
      </c>
      <c r="J29" s="19">
        <v>113.8233</v>
      </c>
      <c r="K29" s="19">
        <v>54.475099999999998</v>
      </c>
      <c r="L29" s="2"/>
      <c r="M29" s="2"/>
    </row>
    <row r="30" spans="1:13" ht="15" customHeight="1" x14ac:dyDescent="0.35">
      <c r="A30" s="4">
        <v>43371</v>
      </c>
      <c r="B30" s="19">
        <v>14239.87</v>
      </c>
      <c r="C30" s="19">
        <v>12818.64</v>
      </c>
      <c r="D30" s="19">
        <v>93.186199999999999</v>
      </c>
      <c r="E30" s="19">
        <v>36.930100000000003</v>
      </c>
      <c r="F30" s="19">
        <v>30.542400000000001</v>
      </c>
      <c r="G30" s="19">
        <v>129.05619999999999</v>
      </c>
      <c r="H30" s="19">
        <v>45.230200000000004</v>
      </c>
      <c r="I30" s="19">
        <v>104.0519</v>
      </c>
      <c r="J30" s="19">
        <v>113.1224</v>
      </c>
      <c r="K30" s="19">
        <v>54.170900000000003</v>
      </c>
      <c r="L30" s="2"/>
      <c r="M30" s="2"/>
    </row>
    <row r="31" spans="1:13" ht="15" customHeight="1" x14ac:dyDescent="0.35">
      <c r="A31" s="4">
        <v>43404</v>
      </c>
      <c r="B31" s="19">
        <v>12777.22</v>
      </c>
      <c r="C31" s="19">
        <v>12095.38</v>
      </c>
      <c r="D31" s="19">
        <v>93.345100000000002</v>
      </c>
      <c r="E31" s="19">
        <v>35.878500000000003</v>
      </c>
      <c r="F31" s="19">
        <v>30.520800000000001</v>
      </c>
      <c r="G31" s="19">
        <v>126.41200000000001</v>
      </c>
      <c r="H31" s="19">
        <v>44.215299999999999</v>
      </c>
      <c r="I31" s="19">
        <v>101.9939</v>
      </c>
      <c r="J31" s="19">
        <v>112.4473</v>
      </c>
      <c r="K31" s="19">
        <v>53.886600000000001</v>
      </c>
      <c r="L31" s="2"/>
      <c r="M31" s="2"/>
    </row>
    <row r="32" spans="1:13" ht="15" customHeight="1" x14ac:dyDescent="0.35">
      <c r="A32" s="4">
        <v>43434</v>
      </c>
      <c r="B32" s="19">
        <v>13031.96</v>
      </c>
      <c r="C32" s="19">
        <v>12179.5</v>
      </c>
      <c r="D32" s="19">
        <v>93.519000000000005</v>
      </c>
      <c r="E32" s="19">
        <v>36.517600000000002</v>
      </c>
      <c r="F32" s="19">
        <v>30.815000000000001</v>
      </c>
      <c r="G32" s="19">
        <v>125.9579</v>
      </c>
      <c r="H32" s="19">
        <v>43.227699999999999</v>
      </c>
      <c r="I32" s="19">
        <v>101.58459999999999</v>
      </c>
      <c r="J32" s="19">
        <v>113.4967</v>
      </c>
      <c r="K32" s="19">
        <v>54.251300000000001</v>
      </c>
      <c r="L32" s="2"/>
      <c r="M32" s="2"/>
    </row>
    <row r="33" spans="1:13" ht="15" customHeight="1" x14ac:dyDescent="0.35">
      <c r="A33" s="4">
        <v>43465</v>
      </c>
      <c r="B33" s="19">
        <v>11828.6</v>
      </c>
      <c r="C33" s="19">
        <v>10689.95</v>
      </c>
      <c r="D33" s="19">
        <v>93.690100000000001</v>
      </c>
      <c r="E33" s="19">
        <v>38.657400000000003</v>
      </c>
      <c r="F33" s="19">
        <v>31.51</v>
      </c>
      <c r="G33" s="19">
        <v>128.2963</v>
      </c>
      <c r="H33" s="19">
        <v>42.567900000000002</v>
      </c>
      <c r="I33" s="19">
        <v>99.460999999999999</v>
      </c>
      <c r="J33" s="19">
        <v>115.4996</v>
      </c>
      <c r="K33" s="19">
        <v>55.211399999999998</v>
      </c>
      <c r="L33" s="2"/>
      <c r="M33" s="2"/>
    </row>
    <row r="34" spans="1:13" ht="15" customHeight="1" x14ac:dyDescent="0.35">
      <c r="A34" s="4">
        <v>43496</v>
      </c>
      <c r="B34" s="19">
        <v>12920.23</v>
      </c>
      <c r="C34" s="19">
        <v>11897.86</v>
      </c>
      <c r="D34" s="19">
        <v>93.853999999999999</v>
      </c>
      <c r="E34" s="19">
        <v>38.767699999999998</v>
      </c>
      <c r="F34" s="19">
        <v>31.599900000000002</v>
      </c>
      <c r="G34" s="19">
        <v>132.61750000000001</v>
      </c>
      <c r="H34" s="19">
        <v>44.968000000000004</v>
      </c>
      <c r="I34" s="19">
        <v>104.3789</v>
      </c>
      <c r="J34" s="19">
        <v>116.4267</v>
      </c>
      <c r="K34" s="19">
        <v>55.529899999999998</v>
      </c>
      <c r="L34" s="2"/>
      <c r="M34" s="2"/>
    </row>
    <row r="35" spans="1:13" ht="15" customHeight="1" x14ac:dyDescent="0.35">
      <c r="A35" s="4">
        <v>43524</v>
      </c>
      <c r="B35" s="19">
        <v>13494.06</v>
      </c>
      <c r="C35" s="19">
        <v>12138.97</v>
      </c>
      <c r="D35" s="19">
        <v>94.027699999999996</v>
      </c>
      <c r="E35" s="19">
        <v>38.253</v>
      </c>
      <c r="F35" s="19">
        <v>31.528400000000001</v>
      </c>
      <c r="G35" s="19">
        <v>132.3477</v>
      </c>
      <c r="H35" s="19">
        <v>45.230400000000003</v>
      </c>
      <c r="I35" s="19">
        <v>105.6464</v>
      </c>
      <c r="J35" s="19">
        <v>116.35</v>
      </c>
      <c r="K35" s="19">
        <v>55.782899999999998</v>
      </c>
      <c r="L35" s="2"/>
      <c r="M35" s="2"/>
    </row>
    <row r="36" spans="1:13" ht="15" customHeight="1" x14ac:dyDescent="0.35">
      <c r="A36" s="4">
        <v>43553</v>
      </c>
      <c r="B36" s="19">
        <v>13790.88</v>
      </c>
      <c r="C36" s="19">
        <v>11950.3</v>
      </c>
      <c r="D36" s="19">
        <v>94.1922</v>
      </c>
      <c r="E36" s="19">
        <v>40.333100000000002</v>
      </c>
      <c r="F36" s="19">
        <v>32.081299999999999</v>
      </c>
      <c r="G36" s="19">
        <v>136.2253</v>
      </c>
      <c r="H36" s="19">
        <v>45.892099999999999</v>
      </c>
      <c r="I36" s="19">
        <v>107.0085</v>
      </c>
      <c r="J36" s="19">
        <v>118.0321</v>
      </c>
      <c r="K36" s="19">
        <v>56.9983</v>
      </c>
      <c r="L36" s="2"/>
      <c r="M36" s="2"/>
    </row>
    <row r="37" spans="1:13" ht="15" customHeight="1" x14ac:dyDescent="0.35">
      <c r="A37" s="4">
        <v>43585</v>
      </c>
      <c r="B37" s="19">
        <v>14196.62</v>
      </c>
      <c r="C37" s="19">
        <v>12570.3</v>
      </c>
      <c r="D37" s="19">
        <v>94.373000000000005</v>
      </c>
      <c r="E37" s="19">
        <v>39.584600000000002</v>
      </c>
      <c r="F37" s="19">
        <v>32.0351</v>
      </c>
      <c r="G37" s="19">
        <v>136.82130000000001</v>
      </c>
      <c r="H37" s="19">
        <v>46.206699999999998</v>
      </c>
      <c r="I37" s="19">
        <v>108.0635</v>
      </c>
      <c r="J37" s="19">
        <v>117.92270000000001</v>
      </c>
      <c r="K37" s="19">
        <v>57.0002</v>
      </c>
      <c r="L37" s="2"/>
      <c r="M37" s="2"/>
    </row>
    <row r="38" spans="1:13" ht="15" customHeight="1" x14ac:dyDescent="0.35">
      <c r="A38" s="4">
        <v>43616</v>
      </c>
      <c r="B38" s="19">
        <v>13399.04</v>
      </c>
      <c r="C38" s="19">
        <v>11396.77</v>
      </c>
      <c r="D38" s="19">
        <v>94.573099999999997</v>
      </c>
      <c r="E38" s="19">
        <v>42.2254</v>
      </c>
      <c r="F38" s="19">
        <v>32.695700000000002</v>
      </c>
      <c r="G38" s="19">
        <v>139.07929999999999</v>
      </c>
      <c r="H38" s="19">
        <v>46.323300000000003</v>
      </c>
      <c r="I38" s="19">
        <v>105.9759</v>
      </c>
      <c r="J38" s="19">
        <v>119.3524</v>
      </c>
      <c r="K38" s="19">
        <v>58.186500000000002</v>
      </c>
      <c r="L38" s="2"/>
      <c r="M38" s="2"/>
    </row>
    <row r="39" spans="1:13" ht="15" customHeight="1" x14ac:dyDescent="0.35">
      <c r="A39" s="4">
        <v>43644</v>
      </c>
      <c r="B39" s="19">
        <v>14264.89</v>
      </c>
      <c r="C39" s="19">
        <v>12406.93</v>
      </c>
      <c r="D39" s="19">
        <v>94.744900000000001</v>
      </c>
      <c r="E39" s="19">
        <v>42.586300000000001</v>
      </c>
      <c r="F39" s="19">
        <v>33.007599999999996</v>
      </c>
      <c r="G39" s="19">
        <v>143.5932</v>
      </c>
      <c r="H39" s="19">
        <v>46.930399999999999</v>
      </c>
      <c r="I39" s="19">
        <v>109.3181</v>
      </c>
      <c r="J39" s="19">
        <v>120.30410000000001</v>
      </c>
      <c r="K39" s="19">
        <v>58.792099999999998</v>
      </c>
      <c r="L39" s="2"/>
      <c r="M39" s="2"/>
    </row>
    <row r="40" spans="1:13" ht="15" customHeight="1" x14ac:dyDescent="0.35">
      <c r="A40" s="4">
        <v>43677</v>
      </c>
      <c r="B40" s="19">
        <v>14373.1</v>
      </c>
      <c r="C40" s="19">
        <v>12470.03</v>
      </c>
      <c r="D40" s="19">
        <v>94.915999999999997</v>
      </c>
      <c r="E40" s="19">
        <v>42.753300000000003</v>
      </c>
      <c r="F40" s="19">
        <v>32.9863</v>
      </c>
      <c r="G40" s="19">
        <v>143.95660000000001</v>
      </c>
      <c r="H40" s="19">
        <v>47.775100000000002</v>
      </c>
      <c r="I40" s="19">
        <v>109.489</v>
      </c>
      <c r="J40" s="19">
        <v>120.746</v>
      </c>
      <c r="K40" s="19">
        <v>58.938600000000001</v>
      </c>
      <c r="L40" s="2"/>
      <c r="M40" s="2"/>
    </row>
    <row r="41" spans="1:13" ht="15" customHeight="1" x14ac:dyDescent="0.35">
      <c r="A41" s="4">
        <v>43707</v>
      </c>
      <c r="B41" s="19">
        <v>14158.7</v>
      </c>
      <c r="C41" s="19">
        <v>11761.3</v>
      </c>
      <c r="D41" s="19">
        <v>95.076300000000003</v>
      </c>
      <c r="E41" s="19">
        <v>47.381999999999998</v>
      </c>
      <c r="F41" s="19">
        <v>33.796900000000001</v>
      </c>
      <c r="G41" s="19">
        <v>149.5472</v>
      </c>
      <c r="H41" s="19">
        <v>48.064399999999999</v>
      </c>
      <c r="I41" s="19">
        <v>110.24460000000001</v>
      </c>
      <c r="J41" s="19">
        <v>121.90519999999999</v>
      </c>
      <c r="K41" s="19">
        <v>60.154299999999999</v>
      </c>
      <c r="L41" s="2"/>
      <c r="M41" s="2"/>
    </row>
    <row r="42" spans="1:13" ht="15" customHeight="1" x14ac:dyDescent="0.35">
      <c r="A42" s="4">
        <v>43738</v>
      </c>
      <c r="B42" s="19">
        <v>14196.1</v>
      </c>
      <c r="C42" s="19">
        <v>12467.75</v>
      </c>
      <c r="D42" s="19">
        <v>95.230500000000006</v>
      </c>
      <c r="E42" s="19">
        <v>46.068899999999999</v>
      </c>
      <c r="F42" s="19">
        <v>33.5672</v>
      </c>
      <c r="G42" s="19">
        <v>148.41730000000001</v>
      </c>
      <c r="H42" s="19">
        <v>48.426000000000002</v>
      </c>
      <c r="I42" s="19">
        <v>110.7299</v>
      </c>
      <c r="J42" s="19">
        <v>121.97839999999999</v>
      </c>
      <c r="K42" s="19">
        <v>59.819699999999997</v>
      </c>
      <c r="L42" s="2"/>
      <c r="M42" s="2"/>
    </row>
    <row r="43" spans="1:13" ht="15" customHeight="1" x14ac:dyDescent="0.35">
      <c r="A43" s="4">
        <v>43769</v>
      </c>
      <c r="B43" s="19">
        <v>14289.45</v>
      </c>
      <c r="C43" s="19">
        <v>12588.39</v>
      </c>
      <c r="D43" s="19">
        <v>95.383600000000001</v>
      </c>
      <c r="E43" s="19">
        <v>45.603499999999997</v>
      </c>
      <c r="F43" s="19">
        <v>33.662599999999998</v>
      </c>
      <c r="G43" s="19">
        <v>149.077</v>
      </c>
      <c r="H43" s="19">
        <v>48.6325</v>
      </c>
      <c r="I43" s="19">
        <v>110.7182</v>
      </c>
      <c r="J43" s="19">
        <v>122.37520000000001</v>
      </c>
      <c r="K43" s="19">
        <v>59.695</v>
      </c>
      <c r="L43" s="2"/>
      <c r="M43" s="2"/>
    </row>
    <row r="44" spans="1:13" ht="15" customHeight="1" x14ac:dyDescent="0.35">
      <c r="A44" s="4">
        <v>43798</v>
      </c>
      <c r="B44" s="19">
        <v>14895.52</v>
      </c>
      <c r="C44" s="19">
        <v>13068.76</v>
      </c>
      <c r="D44" s="19">
        <v>95.486500000000007</v>
      </c>
      <c r="E44" s="19">
        <v>45.395699999999998</v>
      </c>
      <c r="F44" s="19">
        <v>33.496299999999998</v>
      </c>
      <c r="G44" s="19">
        <v>149.78489999999999</v>
      </c>
      <c r="H44" s="19">
        <v>48.418999999999997</v>
      </c>
      <c r="I44" s="19">
        <v>111.34529999999999</v>
      </c>
      <c r="J44" s="19">
        <v>122.3853</v>
      </c>
      <c r="K44" s="19">
        <v>59.796199999999999</v>
      </c>
      <c r="L44" s="2"/>
      <c r="M44" s="2"/>
    </row>
    <row r="45" spans="1:13" ht="15" customHeight="1" x14ac:dyDescent="0.35">
      <c r="A45" s="4">
        <v>43830</v>
      </c>
      <c r="B45" s="19">
        <v>15257.27</v>
      </c>
      <c r="C45" s="19">
        <v>13410.88</v>
      </c>
      <c r="D45" s="19">
        <v>95.593400000000003</v>
      </c>
      <c r="E45" s="19">
        <v>43.970500000000001</v>
      </c>
      <c r="F45" s="19">
        <v>33.405299999999997</v>
      </c>
      <c r="G45" s="19">
        <v>150.57640000000001</v>
      </c>
      <c r="H45" s="19">
        <v>49.348599999999998</v>
      </c>
      <c r="I45" s="19">
        <v>113.4739</v>
      </c>
      <c r="J45" s="19">
        <v>122.6429</v>
      </c>
      <c r="K45" s="19">
        <v>59.589799999999997</v>
      </c>
      <c r="L45" s="2"/>
      <c r="M45" s="2"/>
    </row>
    <row r="46" spans="1:13" ht="15" customHeight="1" x14ac:dyDescent="0.35">
      <c r="A46" s="4">
        <v>43861</v>
      </c>
      <c r="B46" s="19">
        <v>15382.85</v>
      </c>
      <c r="C46" s="19">
        <v>12595.47</v>
      </c>
      <c r="D46" s="19">
        <v>95.708399999999997</v>
      </c>
      <c r="E46" s="19">
        <v>47.307600000000001</v>
      </c>
      <c r="F46" s="19">
        <v>34.128900000000002</v>
      </c>
      <c r="G46" s="19">
        <v>154.25960000000001</v>
      </c>
      <c r="H46" s="19">
        <v>50.096899999999998</v>
      </c>
      <c r="I46" s="19">
        <v>112.9449</v>
      </c>
      <c r="J46" s="19">
        <v>123.5509</v>
      </c>
      <c r="K46" s="19">
        <v>61.215299999999999</v>
      </c>
      <c r="L46" s="2"/>
      <c r="M46" s="2"/>
    </row>
    <row r="47" spans="1:13" ht="15" customHeight="1" x14ac:dyDescent="0.35">
      <c r="A47" s="4">
        <v>43889</v>
      </c>
      <c r="B47" s="19">
        <v>14323.29</v>
      </c>
      <c r="C47" s="19">
        <v>10953.86</v>
      </c>
      <c r="D47" s="19">
        <v>95.821700000000007</v>
      </c>
      <c r="E47" s="19">
        <v>50.328200000000002</v>
      </c>
      <c r="F47" s="19">
        <v>34.865000000000002</v>
      </c>
      <c r="G47" s="19">
        <v>155.94319999999999</v>
      </c>
      <c r="H47" s="19">
        <v>47.860399999999998</v>
      </c>
      <c r="I47" s="19">
        <v>111.4883</v>
      </c>
      <c r="J47" s="19">
        <v>124.5702</v>
      </c>
      <c r="K47" s="19">
        <v>61.604599999999998</v>
      </c>
      <c r="L47" s="2"/>
      <c r="M47" s="2"/>
    </row>
    <row r="48" spans="1:13" ht="15" customHeight="1" x14ac:dyDescent="0.35">
      <c r="A48" s="4">
        <v>43921</v>
      </c>
      <c r="B48" s="19">
        <v>12094.23</v>
      </c>
      <c r="C48" s="19">
        <v>7806.14</v>
      </c>
      <c r="D48" s="19">
        <v>96.018000000000001</v>
      </c>
      <c r="E48" s="19">
        <v>53.619500000000002</v>
      </c>
      <c r="F48" s="19">
        <v>35.871400000000001</v>
      </c>
      <c r="G48" s="19">
        <v>146.101</v>
      </c>
      <c r="H48" s="19">
        <v>42.163499999999999</v>
      </c>
      <c r="I48" s="19">
        <v>100.3048</v>
      </c>
      <c r="J48" s="19">
        <v>125.9096</v>
      </c>
      <c r="K48" s="19">
        <v>60.875300000000003</v>
      </c>
      <c r="L48" s="2"/>
      <c r="M48" s="2"/>
    </row>
    <row r="49" spans="1:13" ht="15" customHeight="1" x14ac:dyDescent="0.35">
      <c r="A49" s="4">
        <v>43951</v>
      </c>
      <c r="B49" s="19">
        <v>14097.61</v>
      </c>
      <c r="C49" s="19">
        <v>8945.42</v>
      </c>
      <c r="D49" s="19">
        <v>95.999399999999994</v>
      </c>
      <c r="E49" s="19">
        <v>54.226599999999998</v>
      </c>
      <c r="F49" s="19">
        <v>35.899299999999997</v>
      </c>
      <c r="G49" s="19">
        <v>153.1865</v>
      </c>
      <c r="H49" s="19">
        <v>46.148600000000002</v>
      </c>
      <c r="I49" s="19">
        <v>105.2187</v>
      </c>
      <c r="J49" s="19">
        <v>126.9289</v>
      </c>
      <c r="K49" s="19">
        <v>61.028100000000002</v>
      </c>
      <c r="L49" s="2"/>
      <c r="M49" s="2"/>
    </row>
    <row r="50" spans="1:13" ht="15" customHeight="1" x14ac:dyDescent="0.35">
      <c r="A50" s="4">
        <v>43980</v>
      </c>
      <c r="B50" s="19">
        <v>15267.86</v>
      </c>
      <c r="C50" s="19">
        <v>9215.31</v>
      </c>
      <c r="D50" s="19">
        <v>95.983000000000004</v>
      </c>
      <c r="E50" s="19">
        <v>53.337800000000001</v>
      </c>
      <c r="F50" s="19">
        <v>36.0169</v>
      </c>
      <c r="G50" s="19">
        <v>156.95689999999999</v>
      </c>
      <c r="H50" s="19">
        <v>47.0351</v>
      </c>
      <c r="I50" s="19">
        <v>108.3275</v>
      </c>
      <c r="J50" s="19">
        <v>127.1557</v>
      </c>
      <c r="K50" s="19">
        <v>61.6494</v>
      </c>
      <c r="L50" s="2"/>
      <c r="M50" s="2"/>
    </row>
    <row r="51" spans="1:13" ht="15" customHeight="1" x14ac:dyDescent="0.35">
      <c r="A51" s="4">
        <v>44012</v>
      </c>
      <c r="B51" s="19">
        <v>15676.82</v>
      </c>
      <c r="C51" s="19">
        <v>9410.17</v>
      </c>
      <c r="D51" s="19">
        <v>95.983000000000004</v>
      </c>
      <c r="E51" s="19">
        <v>53.4848</v>
      </c>
      <c r="F51" s="19">
        <v>36.065399999999997</v>
      </c>
      <c r="G51" s="19">
        <v>160.29640000000001</v>
      </c>
      <c r="H51" s="19">
        <v>46.5899</v>
      </c>
      <c r="I51" s="19">
        <v>107.6917</v>
      </c>
      <c r="J51" s="19">
        <v>126.9498</v>
      </c>
      <c r="K51" s="19">
        <v>62.678199999999997</v>
      </c>
      <c r="L51" s="2"/>
      <c r="M51" s="2"/>
    </row>
    <row r="52" spans="1:13" ht="15" customHeight="1" x14ac:dyDescent="0.35">
      <c r="A52" s="4">
        <v>44043</v>
      </c>
      <c r="B52" s="19">
        <v>16701.87</v>
      </c>
      <c r="C52" s="19">
        <v>9629.2099999999991</v>
      </c>
      <c r="D52" s="19">
        <v>95.993499999999997</v>
      </c>
      <c r="E52" s="19">
        <v>55.783200000000001</v>
      </c>
      <c r="F52" s="19">
        <v>36.227699999999999</v>
      </c>
      <c r="G52" s="19">
        <v>165.2646</v>
      </c>
      <c r="H52" s="19">
        <v>48.897100000000002</v>
      </c>
      <c r="I52" s="19">
        <v>113.14060000000001</v>
      </c>
      <c r="J52" s="19">
        <v>127.31619999999999</v>
      </c>
      <c r="K52" s="19">
        <v>63.3782</v>
      </c>
      <c r="L52" s="2"/>
      <c r="M52" s="2"/>
    </row>
    <row r="53" spans="1:13" ht="15" customHeight="1" x14ac:dyDescent="0.35">
      <c r="A53" s="4">
        <v>44074</v>
      </c>
      <c r="B53" s="19">
        <v>17635.580000000002</v>
      </c>
      <c r="C53" s="19">
        <v>10101.68</v>
      </c>
      <c r="D53" s="19">
        <v>95.993499999999997</v>
      </c>
      <c r="E53" s="19">
        <v>53.077800000000003</v>
      </c>
      <c r="F53" s="19">
        <v>36.101799999999997</v>
      </c>
      <c r="G53" s="19">
        <v>162.32579999999999</v>
      </c>
      <c r="H53" s="19">
        <v>49.825000000000003</v>
      </c>
      <c r="I53" s="19">
        <v>113.1146</v>
      </c>
      <c r="J53" s="19">
        <v>127.38500000000001</v>
      </c>
      <c r="K53" s="19">
        <v>63.2654</v>
      </c>
      <c r="L53" s="2"/>
      <c r="M53" s="2"/>
    </row>
    <row r="54" spans="1:13" ht="15" customHeight="1" x14ac:dyDescent="0.35">
      <c r="A54" s="4">
        <v>44104</v>
      </c>
      <c r="B54" s="19">
        <v>17168.43</v>
      </c>
      <c r="C54" s="19">
        <v>9725.08</v>
      </c>
      <c r="D54" s="19">
        <v>95.972499999999997</v>
      </c>
      <c r="E54" s="19">
        <v>53.501899999999999</v>
      </c>
      <c r="F54" s="19">
        <v>36.134300000000003</v>
      </c>
      <c r="G54" s="19">
        <v>161.60990000000001</v>
      </c>
      <c r="H54" s="19">
        <v>49.7027</v>
      </c>
      <c r="I54" s="19">
        <v>112.0579</v>
      </c>
      <c r="J54" s="19">
        <v>127.2835</v>
      </c>
      <c r="K54" s="19">
        <v>63.747999999999998</v>
      </c>
      <c r="L54" s="2"/>
      <c r="M54" s="2"/>
    </row>
    <row r="55" spans="1:13" ht="15" customHeight="1" x14ac:dyDescent="0.35">
      <c r="A55" s="4">
        <v>44134</v>
      </c>
      <c r="B55" s="19">
        <v>16864.12</v>
      </c>
      <c r="C55" s="19">
        <v>9891.25</v>
      </c>
      <c r="D55" s="19">
        <v>95.983000000000004</v>
      </c>
      <c r="E55" s="19">
        <v>51.722499999999997</v>
      </c>
      <c r="F55" s="19">
        <v>35.915300000000002</v>
      </c>
      <c r="G55" s="19">
        <v>160.78469999999999</v>
      </c>
      <c r="H55" s="19">
        <v>49.601999999999997</v>
      </c>
      <c r="I55" s="19">
        <v>112.50879999999999</v>
      </c>
      <c r="J55" s="19">
        <v>127.37730000000001</v>
      </c>
      <c r="K55" s="19">
        <v>63.323799999999999</v>
      </c>
      <c r="L55" s="2"/>
      <c r="M55" s="2"/>
    </row>
    <row r="56" spans="1:13" ht="15" customHeight="1" x14ac:dyDescent="0.35">
      <c r="A56" s="4">
        <v>44165</v>
      </c>
      <c r="B56" s="19">
        <v>18921.38</v>
      </c>
      <c r="C56" s="19">
        <v>11760.58</v>
      </c>
      <c r="D56" s="19">
        <v>95.972499999999997</v>
      </c>
      <c r="E56" s="19">
        <v>52.534399999999998</v>
      </c>
      <c r="F56" s="19">
        <v>35.968499999999999</v>
      </c>
      <c r="G56" s="19">
        <v>166.84690000000001</v>
      </c>
      <c r="H56" s="19">
        <v>51.8857</v>
      </c>
      <c r="I56" s="19">
        <v>116.27809999999999</v>
      </c>
      <c r="J56" s="19">
        <v>127.4363</v>
      </c>
      <c r="K56" s="19">
        <v>63.6736</v>
      </c>
      <c r="L56" s="2"/>
      <c r="M56" s="2"/>
    </row>
    <row r="57" spans="1:13" ht="15" customHeight="1" x14ac:dyDescent="0.35">
      <c r="A57" s="4">
        <v>44196</v>
      </c>
      <c r="B57" s="19">
        <v>19782.490000000002</v>
      </c>
      <c r="C57" s="19">
        <v>12242.14</v>
      </c>
      <c r="D57" s="19">
        <v>95.975899999999996</v>
      </c>
      <c r="E57" s="19">
        <v>51.915900000000001</v>
      </c>
      <c r="F57" s="19">
        <v>35.977800000000002</v>
      </c>
      <c r="G57" s="19">
        <v>167.09899999999999</v>
      </c>
      <c r="H57" s="19">
        <v>53.252000000000002</v>
      </c>
      <c r="I57" s="19">
        <v>118.5536</v>
      </c>
      <c r="J57" s="19">
        <v>127.6443</v>
      </c>
      <c r="K57" s="19">
        <v>64.274500000000003</v>
      </c>
      <c r="L57" s="2"/>
      <c r="M57" s="2"/>
    </row>
    <row r="58" spans="1:13" ht="15" customHeight="1" x14ac:dyDescent="0.35">
      <c r="A58" s="4">
        <v>44225</v>
      </c>
      <c r="B58" s="19">
        <v>19671.46</v>
      </c>
      <c r="C58" s="19">
        <v>12543.56</v>
      </c>
      <c r="D58" s="19">
        <v>95.975899999999996</v>
      </c>
      <c r="E58" s="19">
        <v>50.086799999999997</v>
      </c>
      <c r="F58" s="19">
        <v>35.825499999999998</v>
      </c>
      <c r="G58" s="19">
        <v>164.0384</v>
      </c>
      <c r="H58" s="19">
        <v>52.339300000000001</v>
      </c>
      <c r="I58" s="19">
        <v>118.10550000000001</v>
      </c>
      <c r="J58" s="19">
        <v>127.82980000000001</v>
      </c>
      <c r="K58" s="19">
        <v>64.413899999999998</v>
      </c>
      <c r="L58" s="2"/>
      <c r="M58" s="2"/>
    </row>
    <row r="59" spans="1:13" ht="15" customHeight="1" x14ac:dyDescent="0.35">
      <c r="A59" s="4">
        <v>44253</v>
      </c>
      <c r="B59" s="19">
        <v>19985.439999999999</v>
      </c>
      <c r="C59" s="19">
        <v>13873.99</v>
      </c>
      <c r="D59" s="19">
        <v>95.965400000000002</v>
      </c>
      <c r="E59" s="19">
        <v>47.297899999999998</v>
      </c>
      <c r="F59" s="19">
        <v>35.335000000000001</v>
      </c>
      <c r="G59" s="19">
        <v>160.3254</v>
      </c>
      <c r="H59" s="19">
        <v>51.879600000000003</v>
      </c>
      <c r="I59" s="19">
        <v>117.8155</v>
      </c>
      <c r="J59" s="19">
        <v>126.7285</v>
      </c>
      <c r="K59" s="19">
        <v>63.245199999999997</v>
      </c>
      <c r="L59" s="2"/>
      <c r="M59" s="2"/>
    </row>
    <row r="60" spans="1:13" ht="15" customHeight="1" x14ac:dyDescent="0.35">
      <c r="A60" s="4">
        <v>44286</v>
      </c>
      <c r="B60" s="19">
        <v>19946.87</v>
      </c>
      <c r="C60" s="19">
        <v>14816.53</v>
      </c>
      <c r="D60" s="19">
        <v>95.954899999999995</v>
      </c>
      <c r="E60" s="19">
        <v>44.959000000000003</v>
      </c>
      <c r="F60" s="19">
        <v>34.931600000000003</v>
      </c>
      <c r="G60" s="19">
        <v>157.95570000000001</v>
      </c>
      <c r="H60" s="19">
        <v>53.523800000000001</v>
      </c>
      <c r="I60" s="19">
        <v>119.2427</v>
      </c>
      <c r="J60" s="19">
        <v>126.1074</v>
      </c>
      <c r="K60" s="19">
        <v>62.804299999999998</v>
      </c>
      <c r="L60" s="2"/>
      <c r="M60" s="2"/>
    </row>
    <row r="61" spans="1:13" ht="15" customHeight="1" x14ac:dyDescent="0.35">
      <c r="A61" s="4">
        <v>44316</v>
      </c>
      <c r="B61" s="19">
        <v>20991.69</v>
      </c>
      <c r="C61" s="19">
        <v>15414.78</v>
      </c>
      <c r="D61" s="19">
        <v>95.954899999999995</v>
      </c>
      <c r="E61" s="19">
        <v>45.994900000000001</v>
      </c>
      <c r="F61" s="19">
        <v>35.151499999999999</v>
      </c>
      <c r="G61" s="19">
        <v>159.60140000000001</v>
      </c>
      <c r="H61" s="19">
        <v>54.154800000000002</v>
      </c>
      <c r="I61" s="19">
        <v>120.00149999999999</v>
      </c>
      <c r="J61" s="19">
        <v>126.8387</v>
      </c>
      <c r="K61" s="19">
        <v>63.285299999999999</v>
      </c>
      <c r="L61" s="2"/>
      <c r="M61" s="2"/>
    </row>
    <row r="62" spans="1:13" ht="15" customHeight="1" x14ac:dyDescent="0.35">
      <c r="A62" s="4">
        <v>44347</v>
      </c>
      <c r="B62" s="19">
        <v>20795.66</v>
      </c>
      <c r="C62" s="19">
        <v>16160.42</v>
      </c>
      <c r="D62" s="19">
        <v>95.944400000000002</v>
      </c>
      <c r="E62" s="19">
        <v>45.959499999999998</v>
      </c>
      <c r="F62" s="19">
        <v>35.2746</v>
      </c>
      <c r="G62" s="19">
        <v>160.59460000000001</v>
      </c>
      <c r="H62" s="19">
        <v>54.584600000000002</v>
      </c>
      <c r="I62" s="19">
        <v>120.04810000000001</v>
      </c>
      <c r="J62" s="19">
        <v>126.4538</v>
      </c>
      <c r="K62" s="19">
        <v>63.6646</v>
      </c>
      <c r="L62" s="2"/>
      <c r="M62" s="2"/>
    </row>
    <row r="63" spans="1:13" ht="15" customHeight="1" x14ac:dyDescent="0.35">
      <c r="A63" s="4">
        <v>44377</v>
      </c>
      <c r="B63" s="19">
        <v>22394.16</v>
      </c>
      <c r="C63" s="19">
        <v>15545.46</v>
      </c>
      <c r="D63" s="19">
        <v>95.923500000000004</v>
      </c>
      <c r="E63" s="19">
        <v>47.849800000000002</v>
      </c>
      <c r="F63" s="19">
        <v>35.300800000000002</v>
      </c>
      <c r="G63" s="19">
        <v>164.1456</v>
      </c>
      <c r="H63" s="19">
        <v>55.489100000000001</v>
      </c>
      <c r="I63" s="19">
        <v>121.637</v>
      </c>
      <c r="J63" s="19">
        <v>126.44</v>
      </c>
      <c r="K63" s="19">
        <v>63.768799999999999</v>
      </c>
      <c r="L63" s="2"/>
      <c r="M63" s="2"/>
    </row>
    <row r="64" spans="1:13" ht="15" customHeight="1" x14ac:dyDescent="0.35">
      <c r="A64" s="4">
        <v>44407</v>
      </c>
      <c r="B64" s="19">
        <v>23553.65</v>
      </c>
      <c r="C64" s="19">
        <v>15201.03</v>
      </c>
      <c r="D64" s="19">
        <v>95.912999999999997</v>
      </c>
      <c r="E64" s="19">
        <v>49.5901</v>
      </c>
      <c r="F64" s="19">
        <v>35.730499999999999</v>
      </c>
      <c r="G64" s="19">
        <v>166.4751</v>
      </c>
      <c r="H64" s="19">
        <v>55.827500000000001</v>
      </c>
      <c r="I64" s="19">
        <v>121.76309999999999</v>
      </c>
      <c r="J64" s="19">
        <v>127.0913</v>
      </c>
      <c r="K64" s="19">
        <v>64.264099999999999</v>
      </c>
      <c r="L64" s="2"/>
      <c r="M64" s="2"/>
    </row>
    <row r="65" spans="1:13" ht="15" customHeight="1" x14ac:dyDescent="0.35">
      <c r="A65" s="4">
        <v>44439</v>
      </c>
      <c r="B65" s="19">
        <v>24761.85</v>
      </c>
      <c r="C65" s="19">
        <v>15629.09</v>
      </c>
      <c r="D65" s="19">
        <v>95.902500000000003</v>
      </c>
      <c r="E65" s="19">
        <v>49.4863</v>
      </c>
      <c r="F65" s="19">
        <v>35.627099999999999</v>
      </c>
      <c r="G65" s="19">
        <v>165.90180000000001</v>
      </c>
      <c r="H65" s="19">
        <v>56.012900000000002</v>
      </c>
      <c r="I65" s="19">
        <v>122.5051</v>
      </c>
      <c r="J65" s="19">
        <v>127.0681</v>
      </c>
      <c r="K65" s="19">
        <v>64.344399999999993</v>
      </c>
      <c r="L65" s="2"/>
      <c r="M65" s="2"/>
    </row>
    <row r="66" spans="1:13" ht="15" customHeight="1" x14ac:dyDescent="0.35">
      <c r="A66" s="4">
        <v>44469</v>
      </c>
      <c r="B66" s="19">
        <v>23441.71</v>
      </c>
      <c r="C66" s="19">
        <v>15368.38</v>
      </c>
      <c r="D66" s="19">
        <v>95.912999999999997</v>
      </c>
      <c r="E66" s="19">
        <v>48.044499999999999</v>
      </c>
      <c r="F66" s="19">
        <v>35.2729</v>
      </c>
      <c r="G66" s="19">
        <v>163.4007</v>
      </c>
      <c r="H66" s="19">
        <v>55.386800000000001</v>
      </c>
      <c r="I66" s="19">
        <v>122.0515</v>
      </c>
      <c r="J66" s="19">
        <v>126.627</v>
      </c>
      <c r="K66" s="19">
        <v>63.7254</v>
      </c>
      <c r="L66" s="2"/>
      <c r="M66" s="2"/>
    </row>
    <row r="67" spans="1:13" ht="15" customHeight="1" x14ac:dyDescent="0.35">
      <c r="A67" s="4">
        <v>44498</v>
      </c>
      <c r="B67" s="19">
        <v>25795.48</v>
      </c>
      <c r="C67" s="19">
        <v>16062.35</v>
      </c>
      <c r="D67" s="19">
        <v>95.902500000000003</v>
      </c>
      <c r="E67" s="19">
        <v>48.985500000000002</v>
      </c>
      <c r="F67" s="19">
        <v>35.027900000000002</v>
      </c>
      <c r="G67" s="19">
        <v>164.26660000000001</v>
      </c>
      <c r="H67" s="19">
        <v>56.402099999999997</v>
      </c>
      <c r="I67" s="19">
        <v>121.67189999999999</v>
      </c>
      <c r="J67" s="19">
        <v>126.286</v>
      </c>
      <c r="K67" s="19">
        <v>63.406599999999997</v>
      </c>
      <c r="L67" s="2"/>
      <c r="M67" s="2"/>
    </row>
    <row r="68" spans="1:13" ht="15" customHeight="1" x14ac:dyDescent="0.35">
      <c r="A68" s="4">
        <v>44530</v>
      </c>
      <c r="B68" s="19">
        <v>25871.78</v>
      </c>
      <c r="C68" s="19">
        <v>15469.9</v>
      </c>
      <c r="D68" s="19">
        <v>95.881500000000003</v>
      </c>
      <c r="E68" s="19">
        <v>50.269799999999996</v>
      </c>
      <c r="F68" s="19">
        <v>35.199100000000001</v>
      </c>
      <c r="G68" s="19">
        <v>164.0727</v>
      </c>
      <c r="H68" s="19">
        <v>55.218299999999999</v>
      </c>
      <c r="I68" s="19">
        <v>120.2501</v>
      </c>
      <c r="J68" s="19">
        <v>125.9815</v>
      </c>
      <c r="K68" s="19">
        <v>63.502800000000001</v>
      </c>
      <c r="L68" s="2"/>
      <c r="M68" s="2"/>
    </row>
    <row r="69" spans="1:13" ht="15" customHeight="1" x14ac:dyDescent="0.35">
      <c r="A69" s="4">
        <v>44561</v>
      </c>
      <c r="B69" s="19">
        <v>25679.47</v>
      </c>
      <c r="C69" s="19">
        <v>16481.97</v>
      </c>
      <c r="D69" s="19">
        <v>95.881500000000003</v>
      </c>
      <c r="E69" s="19">
        <v>49.320900000000002</v>
      </c>
      <c r="F69" s="19">
        <v>35.061500000000002</v>
      </c>
      <c r="G69" s="19">
        <v>164.0171</v>
      </c>
      <c r="H69" s="19">
        <v>57.051900000000003</v>
      </c>
      <c r="I69" s="19">
        <v>122.9966</v>
      </c>
      <c r="J69" s="19">
        <v>125.8176</v>
      </c>
      <c r="K69" s="19">
        <v>63.106499999999997</v>
      </c>
      <c r="L69" s="2"/>
      <c r="M69" s="2"/>
    </row>
    <row r="70" spans="1:13" ht="15" customHeight="1" x14ac:dyDescent="0.35">
      <c r="A70" s="4">
        <v>44592</v>
      </c>
      <c r="B70" s="19">
        <v>22253.64</v>
      </c>
      <c r="C70" s="19">
        <v>16811.82</v>
      </c>
      <c r="D70" s="19">
        <v>95.881500000000003</v>
      </c>
      <c r="E70" s="19">
        <v>47.4955</v>
      </c>
      <c r="F70" s="19">
        <v>34.481699999999996</v>
      </c>
      <c r="G70" s="19">
        <v>158.1258</v>
      </c>
      <c r="H70" s="19">
        <v>54.476399999999998</v>
      </c>
      <c r="I70" s="19">
        <v>119.7312</v>
      </c>
      <c r="J70" s="19">
        <v>124.0608</v>
      </c>
      <c r="K70" s="19">
        <v>62.2883</v>
      </c>
      <c r="L70" s="2"/>
      <c r="M70" s="2"/>
    </row>
    <row r="71" spans="1:13" ht="15" customHeight="1" x14ac:dyDescent="0.35">
      <c r="A71" s="4">
        <v>44620</v>
      </c>
      <c r="B71" s="19">
        <v>21864.080000000002</v>
      </c>
      <c r="C71" s="19">
        <v>16942.79</v>
      </c>
      <c r="D71" s="19">
        <v>95.860500000000002</v>
      </c>
      <c r="E71" s="19">
        <v>46.807200000000002</v>
      </c>
      <c r="F71" s="19">
        <v>34.331000000000003</v>
      </c>
      <c r="G71" s="19">
        <v>154.75489999999999</v>
      </c>
      <c r="H71" s="19">
        <v>52.825099999999999</v>
      </c>
      <c r="I71" s="19">
        <v>118.7015</v>
      </c>
      <c r="J71" s="19">
        <v>122.6254</v>
      </c>
      <c r="K71" s="19">
        <v>61.266399999999997</v>
      </c>
      <c r="L71" s="2"/>
      <c r="M71" s="2"/>
    </row>
    <row r="72" spans="1:13" ht="15" customHeight="1" x14ac:dyDescent="0.35">
      <c r="A72" s="4">
        <v>44651</v>
      </c>
      <c r="B72" s="19">
        <v>22382.5</v>
      </c>
      <c r="C72" s="19">
        <v>17534.349999999999</v>
      </c>
      <c r="D72" s="19">
        <v>95.881500000000003</v>
      </c>
      <c r="E72" s="19">
        <v>44.3857</v>
      </c>
      <c r="F72" s="19">
        <v>33.181199999999997</v>
      </c>
      <c r="G72" s="19">
        <v>150.27510000000001</v>
      </c>
      <c r="H72" s="19">
        <v>53.032800000000002</v>
      </c>
      <c r="I72" s="19">
        <v>117.1755</v>
      </c>
      <c r="J72" s="19">
        <v>119.6491</v>
      </c>
      <c r="K72" s="19">
        <v>59.543100000000003</v>
      </c>
      <c r="L72" s="2"/>
      <c r="M72" s="2"/>
    </row>
    <row r="73" spans="1:13" ht="15" customHeight="1" x14ac:dyDescent="0.35">
      <c r="A73" s="4">
        <v>44680</v>
      </c>
      <c r="B73" s="19">
        <v>19363.509999999998</v>
      </c>
      <c r="C73" s="19">
        <v>16727.650000000001</v>
      </c>
      <c r="D73" s="19">
        <v>95.870999999999995</v>
      </c>
      <c r="E73" s="19">
        <v>40.358699999999999</v>
      </c>
      <c r="F73" s="19">
        <v>32.397399999999998</v>
      </c>
      <c r="G73" s="19">
        <v>140.20660000000001</v>
      </c>
      <c r="H73" s="19">
        <v>49.622199999999999</v>
      </c>
      <c r="I73" s="19">
        <v>112.27670000000001</v>
      </c>
      <c r="J73" s="19">
        <v>115.3759</v>
      </c>
      <c r="K73" s="19">
        <v>58.4163</v>
      </c>
      <c r="L73" s="2"/>
      <c r="M73" s="2"/>
    </row>
    <row r="74" spans="1:13" ht="15" customHeight="1" x14ac:dyDescent="0.35">
      <c r="A74" s="4">
        <v>44712</v>
      </c>
      <c r="B74" s="19">
        <v>20033.68</v>
      </c>
      <c r="C74" s="19">
        <v>17443.14</v>
      </c>
      <c r="D74" s="19">
        <v>95.902500000000003</v>
      </c>
      <c r="E74" s="19">
        <v>39.5747</v>
      </c>
      <c r="F74" s="19">
        <v>32.622199999999999</v>
      </c>
      <c r="G74" s="19">
        <v>142.82130000000001</v>
      </c>
      <c r="H74" s="19">
        <v>50.978299999999997</v>
      </c>
      <c r="I74" s="19">
        <v>114.1067</v>
      </c>
      <c r="J74" s="19">
        <v>116.8121</v>
      </c>
      <c r="K74" s="19">
        <v>58.3874</v>
      </c>
      <c r="L74" s="2"/>
      <c r="M74" s="2"/>
    </row>
    <row r="75" spans="1:13" ht="15" customHeight="1" x14ac:dyDescent="0.35">
      <c r="A75" s="4">
        <v>44742</v>
      </c>
      <c r="B75" s="19">
        <v>18051.53</v>
      </c>
      <c r="C75" s="19">
        <v>15494.63</v>
      </c>
      <c r="D75" s="19">
        <v>95.9773</v>
      </c>
      <c r="E75" s="19">
        <v>39.0274</v>
      </c>
      <c r="F75" s="19">
        <v>32.366900000000001</v>
      </c>
      <c r="G75" s="19">
        <v>137.64869999999999</v>
      </c>
      <c r="H75" s="19">
        <v>48.439399999999999</v>
      </c>
      <c r="I75" s="19">
        <v>106.0637</v>
      </c>
      <c r="J75" s="19">
        <v>115.0226</v>
      </c>
      <c r="K75" s="19">
        <v>57.818100000000001</v>
      </c>
      <c r="L75" s="2"/>
      <c r="M75" s="2"/>
    </row>
    <row r="76" spans="1:13" ht="15" customHeight="1" x14ac:dyDescent="0.35">
      <c r="A76" s="4">
        <v>44771</v>
      </c>
      <c r="B76" s="19">
        <v>20373.78</v>
      </c>
      <c r="C76" s="19">
        <v>16207.39</v>
      </c>
      <c r="D76" s="19">
        <v>96.011799999999994</v>
      </c>
      <c r="E76" s="19">
        <v>40.049599999999998</v>
      </c>
      <c r="F76" s="19">
        <v>33.014800000000001</v>
      </c>
      <c r="G76" s="19">
        <v>143.76159999999999</v>
      </c>
      <c r="H76" s="19">
        <v>51.429499999999997</v>
      </c>
      <c r="I76" s="19">
        <v>113.1643</v>
      </c>
      <c r="J76" s="19">
        <v>118.6605</v>
      </c>
      <c r="K76" s="19">
        <v>59.092100000000002</v>
      </c>
      <c r="L76" s="2"/>
      <c r="M76" s="2"/>
    </row>
    <row r="77" spans="1:13" ht="15" customHeight="1" x14ac:dyDescent="0.35">
      <c r="A77" s="4">
        <v>44804</v>
      </c>
      <c r="B77" s="19">
        <v>19471.8</v>
      </c>
      <c r="C77" s="19">
        <v>15975.12</v>
      </c>
      <c r="D77" s="19">
        <v>96.197500000000005</v>
      </c>
      <c r="E77" s="19">
        <v>38.245100000000001</v>
      </c>
      <c r="F77" s="19">
        <v>32.056100000000001</v>
      </c>
      <c r="G77" s="19">
        <v>137.39340000000001</v>
      </c>
      <c r="H77" s="19">
        <v>49.472999999999999</v>
      </c>
      <c r="I77" s="19">
        <v>108.2878</v>
      </c>
      <c r="J77" s="19">
        <v>114.46210000000001</v>
      </c>
      <c r="K77" s="19">
        <v>57.262700000000002</v>
      </c>
      <c r="L77" s="2"/>
      <c r="M77" s="2"/>
    </row>
    <row r="78" spans="1:13" ht="15" customHeight="1" x14ac:dyDescent="0.35">
      <c r="A78" s="4">
        <v>44834</v>
      </c>
      <c r="B78" s="19">
        <v>17733.009999999998</v>
      </c>
      <c r="C78" s="19">
        <v>14516.98</v>
      </c>
      <c r="D78" s="19">
        <v>96.395799999999994</v>
      </c>
      <c r="E78" s="19">
        <v>35.194400000000002</v>
      </c>
      <c r="F78" s="19">
        <v>31.004200000000001</v>
      </c>
      <c r="G78" s="19">
        <v>129.1799</v>
      </c>
      <c r="H78" s="19">
        <v>47.281700000000001</v>
      </c>
      <c r="I78" s="19">
        <v>104.2362</v>
      </c>
      <c r="J78" s="19">
        <v>108.63500000000001</v>
      </c>
      <c r="K78" s="19">
        <v>55.448099999999997</v>
      </c>
      <c r="L78" s="2"/>
      <c r="M78" s="2"/>
    </row>
    <row r="79" spans="1:13" ht="15" customHeight="1" x14ac:dyDescent="0.35">
      <c r="A79" s="4">
        <v>44865</v>
      </c>
      <c r="B79" s="19">
        <v>19128.38</v>
      </c>
      <c r="C79" s="19">
        <v>16411.16</v>
      </c>
      <c r="D79" s="19">
        <v>96.549000000000007</v>
      </c>
      <c r="E79" s="19">
        <v>33.309600000000003</v>
      </c>
      <c r="F79" s="19">
        <v>30.7806</v>
      </c>
      <c r="G79" s="19">
        <v>128.2097</v>
      </c>
      <c r="H79" s="19">
        <v>45.791800000000002</v>
      </c>
      <c r="I79" s="19">
        <v>107.7377</v>
      </c>
      <c r="J79" s="19">
        <v>107.3946</v>
      </c>
      <c r="K79" s="19">
        <v>54.515099999999997</v>
      </c>
      <c r="L79" s="2"/>
      <c r="M79" s="2"/>
    </row>
    <row r="80" spans="1:13" ht="15" customHeight="1" x14ac:dyDescent="0.35">
      <c r="A80" s="4">
        <v>44895</v>
      </c>
      <c r="B80" s="19">
        <v>20157.21</v>
      </c>
      <c r="C80" s="19">
        <v>17285.95</v>
      </c>
      <c r="D80" s="19">
        <v>96.852800000000002</v>
      </c>
      <c r="E80" s="19">
        <v>35.610799999999998</v>
      </c>
      <c r="F80" s="19">
        <v>31.537099999999999</v>
      </c>
      <c r="G80" s="19">
        <v>136.72980000000001</v>
      </c>
      <c r="H80" s="19">
        <v>48.0715</v>
      </c>
      <c r="I80" s="19">
        <v>111.432</v>
      </c>
      <c r="J80" s="19">
        <v>111.9765</v>
      </c>
      <c r="K80" s="19">
        <v>56.053400000000003</v>
      </c>
      <c r="L80" s="2"/>
      <c r="M80" s="2"/>
    </row>
    <row r="81" spans="1:13" ht="15" customHeight="1" x14ac:dyDescent="0.35">
      <c r="A81" s="4">
        <v>44925</v>
      </c>
      <c r="B81" s="19">
        <v>18676.22</v>
      </c>
      <c r="C81" s="19">
        <v>16343.26</v>
      </c>
      <c r="D81" s="19">
        <v>97.204499999999996</v>
      </c>
      <c r="E81" s="19">
        <v>34.796799999999998</v>
      </c>
      <c r="F81" s="19">
        <v>31.3279</v>
      </c>
      <c r="G81" s="19">
        <v>134.6028</v>
      </c>
      <c r="H81" s="19">
        <v>46.677500000000002</v>
      </c>
      <c r="I81" s="19">
        <v>109.47539999999999</v>
      </c>
      <c r="J81" s="19">
        <v>111.0454</v>
      </c>
      <c r="K81" s="19">
        <v>56.032600000000002</v>
      </c>
      <c r="L81" s="2"/>
      <c r="M81" s="2"/>
    </row>
    <row r="82" spans="1:13" ht="15" customHeight="1" x14ac:dyDescent="0.35">
      <c r="A82" s="4">
        <v>44957</v>
      </c>
      <c r="B82" s="19">
        <v>19373.849999999999</v>
      </c>
      <c r="C82" s="19">
        <v>18244.419999999998</v>
      </c>
      <c r="D82" s="19">
        <v>97.480800000000002</v>
      </c>
      <c r="E82" s="19">
        <v>37.277999999999999</v>
      </c>
      <c r="F82" s="19">
        <v>32.071199999999997</v>
      </c>
      <c r="G82" s="19">
        <v>141.54810000000001</v>
      </c>
      <c r="H82" s="19">
        <v>51.371200000000002</v>
      </c>
      <c r="I82" s="19">
        <v>113.48990000000001</v>
      </c>
      <c r="J82" s="19">
        <v>114.7928</v>
      </c>
      <c r="K82" s="19">
        <v>57.668100000000003</v>
      </c>
      <c r="L82" s="2"/>
      <c r="M82" s="2"/>
    </row>
    <row r="83" spans="1:13" ht="15" customHeight="1" x14ac:dyDescent="0.35">
      <c r="A83" s="4">
        <v>44985</v>
      </c>
      <c r="B83" s="19">
        <v>18762.21</v>
      </c>
      <c r="C83" s="19">
        <v>17162.669999999998</v>
      </c>
      <c r="D83" s="19">
        <v>97.817800000000005</v>
      </c>
      <c r="E83" s="19">
        <v>35.483899999999998</v>
      </c>
      <c r="F83" s="19">
        <v>31.282299999999999</v>
      </c>
      <c r="G83" s="19">
        <v>135.64269999999999</v>
      </c>
      <c r="H83" s="19">
        <v>50.272199999999998</v>
      </c>
      <c r="I83" s="19">
        <v>111.3456</v>
      </c>
      <c r="J83" s="19">
        <v>111.6373</v>
      </c>
      <c r="K83" s="19">
        <v>56.435299999999998</v>
      </c>
      <c r="L83" s="2"/>
      <c r="M83" s="2"/>
    </row>
    <row r="84" spans="1:13" ht="15" customHeight="1" x14ac:dyDescent="0.35">
      <c r="A84" s="4">
        <v>45016</v>
      </c>
      <c r="B84" s="19">
        <v>18727.240000000002</v>
      </c>
      <c r="C84" s="19">
        <v>16032.89</v>
      </c>
      <c r="D84" s="19">
        <v>98.208500000000001</v>
      </c>
      <c r="E84" s="19">
        <v>37.194099999999999</v>
      </c>
      <c r="F84" s="19">
        <v>32.234999999999999</v>
      </c>
      <c r="G84" s="19">
        <v>140.8657</v>
      </c>
      <c r="H84" s="19">
        <v>48.278599999999997</v>
      </c>
      <c r="I84" s="19">
        <v>113.5564</v>
      </c>
      <c r="J84" s="19">
        <v>114.0111</v>
      </c>
      <c r="K84" s="19">
        <v>56.627699999999997</v>
      </c>
      <c r="L84" s="2"/>
      <c r="M84" s="2"/>
    </row>
    <row r="85" spans="1:13" ht="15" customHeight="1" x14ac:dyDescent="0.35">
      <c r="A85" s="4">
        <v>45044</v>
      </c>
      <c r="B85" s="19">
        <v>18887.98</v>
      </c>
      <c r="C85" s="19">
        <v>16046.88</v>
      </c>
      <c r="D85" s="19">
        <v>98.564999999999998</v>
      </c>
      <c r="E85" s="19">
        <v>37.358600000000003</v>
      </c>
      <c r="F85" s="19">
        <v>32.465800000000002</v>
      </c>
      <c r="G85" s="19">
        <v>141.71449999999999</v>
      </c>
      <c r="H85" s="19">
        <v>48.798900000000003</v>
      </c>
      <c r="I85" s="19">
        <v>113.7859</v>
      </c>
      <c r="J85" s="19">
        <v>114.4941</v>
      </c>
      <c r="K85" s="19">
        <v>57.662199999999999</v>
      </c>
      <c r="L85" s="2"/>
      <c r="M85" s="2"/>
    </row>
    <row r="86" spans="1:13" ht="15" customHeight="1" x14ac:dyDescent="0.35">
      <c r="A86" s="4">
        <v>45077</v>
      </c>
      <c r="B86" s="19">
        <v>17786.37</v>
      </c>
      <c r="C86" s="19">
        <v>15088.58</v>
      </c>
      <c r="D86" s="19">
        <v>98.934899999999999</v>
      </c>
      <c r="E86" s="19">
        <v>36.290199999999999</v>
      </c>
      <c r="F86" s="19">
        <v>32.138800000000003</v>
      </c>
      <c r="G86" s="19">
        <v>139.2148</v>
      </c>
      <c r="H86" s="19">
        <v>47.644399999999997</v>
      </c>
      <c r="I86" s="19">
        <v>112.3867</v>
      </c>
      <c r="J86" s="19">
        <v>113.7225</v>
      </c>
      <c r="K86" s="19">
        <v>57.009700000000002</v>
      </c>
      <c r="L86" s="2"/>
      <c r="M86" s="2"/>
    </row>
    <row r="87" spans="1:13" ht="15" customHeight="1" x14ac:dyDescent="0.35">
      <c r="A87" s="4">
        <v>45107</v>
      </c>
      <c r="B87" s="19">
        <v>18992.64</v>
      </c>
      <c r="C87" s="19">
        <v>16487.96</v>
      </c>
      <c r="D87" s="19">
        <v>99.390100000000004</v>
      </c>
      <c r="E87" s="19">
        <v>36.287799999999997</v>
      </c>
      <c r="F87" s="19">
        <v>31.7315</v>
      </c>
      <c r="G87" s="19">
        <v>140.3409</v>
      </c>
      <c r="H87" s="19">
        <v>48.6417</v>
      </c>
      <c r="I87" s="19">
        <v>114.38420000000001</v>
      </c>
      <c r="J87" s="19">
        <v>113.181</v>
      </c>
      <c r="K87" s="19">
        <v>56.642699999999998</v>
      </c>
      <c r="L87" s="2"/>
      <c r="M87" s="2"/>
    </row>
    <row r="88" spans="1:13" ht="15" customHeight="1" x14ac:dyDescent="0.35">
      <c r="A88" s="4">
        <v>45138</v>
      </c>
      <c r="B88" s="19">
        <v>19780.32</v>
      </c>
      <c r="C88" s="19">
        <v>17171.599999999999</v>
      </c>
      <c r="D88" s="19">
        <v>99.773399999999995</v>
      </c>
      <c r="E88" s="19">
        <v>35.492800000000003</v>
      </c>
      <c r="F88" s="19">
        <v>31.6936</v>
      </c>
      <c r="G88" s="19">
        <v>140.41800000000001</v>
      </c>
      <c r="H88" s="19">
        <v>49.348100000000002</v>
      </c>
      <c r="I88" s="19">
        <v>115.6609</v>
      </c>
      <c r="J88" s="19">
        <v>113.0835</v>
      </c>
      <c r="K88" s="19">
        <v>56.710799999999999</v>
      </c>
      <c r="L88" s="2"/>
      <c r="M88" s="2"/>
    </row>
    <row r="89" spans="1:13" ht="15" customHeight="1" x14ac:dyDescent="0.35">
      <c r="A89" s="4">
        <v>45169</v>
      </c>
      <c r="B89" s="19">
        <v>19495.02</v>
      </c>
      <c r="C89" s="19">
        <v>16396.900000000001</v>
      </c>
      <c r="D89" s="19">
        <v>100.2685</v>
      </c>
      <c r="E89" s="19">
        <v>34.517099999999999</v>
      </c>
      <c r="F89" s="19">
        <v>31.639099999999999</v>
      </c>
      <c r="G89" s="19">
        <v>138.69749999999999</v>
      </c>
      <c r="H89" s="19">
        <v>48.852600000000002</v>
      </c>
      <c r="I89" s="19">
        <v>115.8758</v>
      </c>
      <c r="J89" s="19">
        <v>112.17749999999999</v>
      </c>
      <c r="K89" s="19">
        <v>56.688000000000002</v>
      </c>
      <c r="L89" s="2"/>
      <c r="M89" s="2"/>
    </row>
    <row r="90" spans="1:13" ht="15" customHeight="1" x14ac:dyDescent="0.35">
      <c r="A90" s="4">
        <v>45198</v>
      </c>
      <c r="B90" s="19">
        <v>18818.689999999999</v>
      </c>
      <c r="C90" s="19">
        <v>15753.39</v>
      </c>
      <c r="D90" s="19">
        <v>100.6683</v>
      </c>
      <c r="E90" s="19">
        <v>31.999199999999998</v>
      </c>
      <c r="F90" s="19">
        <v>31.114599999999999</v>
      </c>
      <c r="G90" s="19">
        <v>133.76750000000001</v>
      </c>
      <c r="H90" s="19">
        <v>48.14</v>
      </c>
      <c r="I90" s="19">
        <v>114.0046</v>
      </c>
      <c r="J90" s="19">
        <v>108.7075</v>
      </c>
      <c r="K90" s="19">
        <v>56.053600000000003</v>
      </c>
      <c r="L90" s="2"/>
      <c r="M90" s="2"/>
    </row>
    <row r="91" spans="1:13" ht="15" customHeight="1" x14ac:dyDescent="0.35">
      <c r="A91" s="4">
        <v>45230</v>
      </c>
      <c r="B91" s="19">
        <v>18300.66</v>
      </c>
      <c r="C91" s="19">
        <v>14856.79</v>
      </c>
      <c r="D91" s="19">
        <v>101.1024</v>
      </c>
      <c r="E91" s="19">
        <v>30.440799999999999</v>
      </c>
      <c r="F91" s="19">
        <v>30.860199999999999</v>
      </c>
      <c r="G91" s="19">
        <v>130.54589999999999</v>
      </c>
      <c r="H91" s="19">
        <v>45.881</v>
      </c>
      <c r="I91" s="19">
        <v>112.8192</v>
      </c>
      <c r="J91" s="19">
        <v>106.3903</v>
      </c>
      <c r="K91" s="19">
        <v>55.444000000000003</v>
      </c>
      <c r="L91" s="2"/>
      <c r="M91" s="2"/>
    </row>
    <row r="92" spans="1:13" ht="15" customHeight="1" x14ac:dyDescent="0.35">
      <c r="A92" s="4">
        <v>45260</v>
      </c>
      <c r="B92" s="19">
        <v>19365.82</v>
      </c>
      <c r="C92" s="19">
        <v>16406.84</v>
      </c>
      <c r="D92" s="19">
        <v>101.5753</v>
      </c>
      <c r="E92" s="19">
        <v>33.201900000000002</v>
      </c>
      <c r="F92" s="19">
        <v>31.8172</v>
      </c>
      <c r="G92" s="19">
        <v>140.4273</v>
      </c>
      <c r="H92" s="19">
        <v>49.514600000000002</v>
      </c>
      <c r="I92" s="19">
        <v>118.3267</v>
      </c>
      <c r="J92" s="19">
        <v>111.93470000000001</v>
      </c>
      <c r="K92" s="19">
        <v>57.0839</v>
      </c>
      <c r="L92" s="2"/>
      <c r="M92" s="2"/>
    </row>
    <row r="93" spans="1:13" ht="15" customHeight="1" x14ac:dyDescent="0.35">
      <c r="A93" s="4">
        <v>45289</v>
      </c>
      <c r="B93" s="19">
        <v>20227.61</v>
      </c>
      <c r="C93" s="19">
        <v>17688.419999999998</v>
      </c>
      <c r="D93" s="19">
        <v>102.01</v>
      </c>
      <c r="E93" s="19">
        <v>35.948700000000002</v>
      </c>
      <c r="F93" s="19">
        <v>32.656799999999997</v>
      </c>
      <c r="G93" s="19">
        <v>147.26050000000001</v>
      </c>
      <c r="H93" s="19">
        <v>50.969900000000003</v>
      </c>
      <c r="I93" s="19">
        <v>122.09610000000001</v>
      </c>
      <c r="J93" s="19">
        <v>116.61199999999999</v>
      </c>
      <c r="K93" s="19">
        <v>58.865099999999998</v>
      </c>
      <c r="L93" s="2"/>
      <c r="M93" s="2"/>
    </row>
    <row r="94" spans="1:13" ht="15" customHeight="1" x14ac:dyDescent="0.35">
      <c r="A94" s="4">
        <v>45322</v>
      </c>
      <c r="B94" s="19">
        <v>20703.78</v>
      </c>
      <c r="C94" s="19">
        <v>17566.22</v>
      </c>
      <c r="D94" s="19">
        <v>102.4453</v>
      </c>
      <c r="E94" s="19">
        <v>35.292200000000001</v>
      </c>
      <c r="F94" s="19">
        <v>32.736899999999999</v>
      </c>
      <c r="G94" s="19">
        <v>146.60849999999999</v>
      </c>
      <c r="H94" s="19">
        <v>52.391599999999997</v>
      </c>
      <c r="I94" s="19">
        <v>122.2381</v>
      </c>
      <c r="J94" s="19">
        <v>116.2649</v>
      </c>
      <c r="K94" s="19">
        <v>59.154499999999999</v>
      </c>
      <c r="L94" s="2"/>
      <c r="M94" s="2"/>
    </row>
    <row r="95" spans="1:13" ht="15" customHeight="1" x14ac:dyDescent="0.35">
      <c r="A95" s="4">
        <v>45351</v>
      </c>
      <c r="B95" s="19">
        <v>22403.03</v>
      </c>
      <c r="C95" s="19">
        <v>17959.79</v>
      </c>
      <c r="D95" s="19">
        <v>102.9006</v>
      </c>
      <c r="E95" s="19">
        <v>34.4696</v>
      </c>
      <c r="F95" s="19">
        <v>32.238599999999998</v>
      </c>
      <c r="G95" s="19">
        <v>143.7715</v>
      </c>
      <c r="H95" s="19">
        <v>52.876800000000003</v>
      </c>
      <c r="I95" s="19">
        <v>122.6053</v>
      </c>
      <c r="J95" s="19">
        <v>114.2822</v>
      </c>
      <c r="K95" s="19">
        <v>59.017400000000002</v>
      </c>
      <c r="L95" s="2"/>
      <c r="M95" s="2"/>
    </row>
    <row r="96" spans="1:13" ht="15" customHeight="1" x14ac:dyDescent="0.35">
      <c r="A96" s="4">
        <v>45380</v>
      </c>
      <c r="B96" s="19">
        <v>23074.52</v>
      </c>
      <c r="C96" s="19">
        <v>19211.439999999999</v>
      </c>
      <c r="D96" s="19">
        <v>103.3227</v>
      </c>
      <c r="E96" s="19">
        <v>34.820099999999996</v>
      </c>
      <c r="F96" s="19">
        <v>32.411900000000003</v>
      </c>
      <c r="G96" s="19">
        <v>145.98410000000001</v>
      </c>
      <c r="H96" s="19">
        <v>53.241399999999999</v>
      </c>
      <c r="I96" s="19">
        <v>123.9393</v>
      </c>
      <c r="J96" s="19">
        <v>115.2809</v>
      </c>
      <c r="K96" s="19">
        <v>59.5623</v>
      </c>
      <c r="L96" s="2"/>
      <c r="M96" s="2"/>
    </row>
    <row r="97" spans="1:13" ht="15" customHeight="1" x14ac:dyDescent="0.35">
      <c r="A97" s="4">
        <v>45412</v>
      </c>
      <c r="B97" s="19">
        <v>21636.04</v>
      </c>
      <c r="C97" s="19">
        <v>18128.2</v>
      </c>
      <c r="D97" s="19">
        <v>103.7689</v>
      </c>
      <c r="E97" s="19">
        <v>32.757100000000001</v>
      </c>
      <c r="F97" s="19">
        <v>31.740600000000001</v>
      </c>
      <c r="G97" s="19">
        <v>141.25460000000001</v>
      </c>
      <c r="H97" s="19">
        <v>51.3919</v>
      </c>
      <c r="I97" s="19">
        <v>122.26730000000001</v>
      </c>
      <c r="J97" s="19">
        <v>112.0334</v>
      </c>
      <c r="K97" s="19">
        <v>58.314799999999998</v>
      </c>
      <c r="L97" s="2"/>
      <c r="M97" s="2"/>
    </row>
    <row r="98" spans="1:13" ht="15" customHeight="1" x14ac:dyDescent="0.35">
      <c r="A98" s="4">
        <v>45443</v>
      </c>
      <c r="B98" s="19">
        <v>22362.83</v>
      </c>
      <c r="C98" s="19">
        <v>18581.259999999998</v>
      </c>
      <c r="D98" s="19">
        <v>104.2428</v>
      </c>
      <c r="E98" s="19">
        <v>33.692100000000003</v>
      </c>
      <c r="F98" s="19">
        <v>32.198</v>
      </c>
      <c r="G98" s="19">
        <v>144.3792</v>
      </c>
      <c r="H98" s="19">
        <v>52.973500000000001</v>
      </c>
      <c r="I98" s="19">
        <v>124.26130000000001</v>
      </c>
      <c r="J98" s="19">
        <v>114.2308</v>
      </c>
      <c r="K98" s="19">
        <v>59.247199999999999</v>
      </c>
      <c r="L98" s="2"/>
      <c r="M98" s="2"/>
    </row>
    <row r="99" spans="1:13" ht="15" customHeight="1" x14ac:dyDescent="0.35">
      <c r="A99" s="4">
        <v>45471</v>
      </c>
      <c r="B99" s="19">
        <v>23444.83</v>
      </c>
      <c r="C99" s="19">
        <v>18201.72</v>
      </c>
      <c r="D99" s="19">
        <v>104.65900000000001</v>
      </c>
      <c r="E99" s="19">
        <v>34.255899999999997</v>
      </c>
      <c r="F99" s="19">
        <v>32.533000000000001</v>
      </c>
      <c r="G99" s="19">
        <v>145.23570000000001</v>
      </c>
      <c r="H99" s="19">
        <v>52.910899999999998</v>
      </c>
      <c r="I99" s="19">
        <v>124.8553</v>
      </c>
      <c r="J99" s="19">
        <v>115.6139</v>
      </c>
      <c r="K99" s="19">
        <v>59.855800000000002</v>
      </c>
      <c r="L99" s="2"/>
      <c r="M99" s="2"/>
    </row>
    <row r="100" spans="1:13" ht="15" customHeight="1" x14ac:dyDescent="0.35">
      <c r="A100" s="4">
        <v>45504</v>
      </c>
      <c r="B100" s="19">
        <v>23156.93</v>
      </c>
      <c r="C100" s="19">
        <v>19305.79</v>
      </c>
      <c r="D100" s="19">
        <v>105.1309</v>
      </c>
      <c r="E100" s="19">
        <v>35.4908</v>
      </c>
      <c r="F100" s="19">
        <v>33.286700000000003</v>
      </c>
      <c r="G100" s="19">
        <v>149.07</v>
      </c>
      <c r="H100" s="19">
        <v>53.457999999999998</v>
      </c>
      <c r="I100" s="19">
        <v>127.79219999999999</v>
      </c>
      <c r="J100" s="19">
        <v>118.66840000000001</v>
      </c>
      <c r="K100" s="19">
        <v>61.061399999999999</v>
      </c>
      <c r="L100" s="2"/>
      <c r="M100" s="2"/>
    </row>
    <row r="101" spans="1:13" ht="15" customHeight="1" x14ac:dyDescent="0.35">
      <c r="A101" s="4">
        <v>45534</v>
      </c>
      <c r="B101" s="19">
        <v>23774.6</v>
      </c>
      <c r="C101" s="19">
        <v>19556.080000000002</v>
      </c>
      <c r="D101" s="19">
        <v>105.6165</v>
      </c>
      <c r="E101" s="19">
        <v>36.198799999999999</v>
      </c>
      <c r="F101" s="19">
        <v>33.695399999999999</v>
      </c>
      <c r="G101" s="19">
        <v>151.85720000000001</v>
      </c>
      <c r="H101" s="19">
        <v>54.8307</v>
      </c>
      <c r="I101" s="19">
        <v>129.77119999999999</v>
      </c>
      <c r="J101" s="19">
        <v>120.7313</v>
      </c>
      <c r="K101" s="19">
        <v>61.533900000000003</v>
      </c>
      <c r="L101" s="2"/>
      <c r="M101" s="2"/>
    </row>
    <row r="102" spans="1:13" ht="15" customHeight="1" x14ac:dyDescent="0.35">
      <c r="A102" s="4">
        <v>45565</v>
      </c>
      <c r="B102" s="19">
        <v>24735.69</v>
      </c>
      <c r="C102" s="19">
        <v>19534.71</v>
      </c>
      <c r="D102" s="19">
        <v>106.0624</v>
      </c>
      <c r="E102" s="19">
        <v>36.9345</v>
      </c>
      <c r="F102" s="19">
        <v>34.058399999999999</v>
      </c>
      <c r="G102" s="19">
        <v>154.8366</v>
      </c>
      <c r="H102" s="19">
        <v>56.591000000000001</v>
      </c>
      <c r="I102" s="19">
        <v>131.97489999999999</v>
      </c>
      <c r="J102" s="19">
        <v>121.8586</v>
      </c>
      <c r="K102" s="19">
        <v>62.898600000000002</v>
      </c>
      <c r="L102" s="2"/>
      <c r="M102" s="2"/>
    </row>
    <row r="103" spans="1:13" ht="15" customHeight="1" x14ac:dyDescent="0.35">
      <c r="A103" s="4">
        <v>45596</v>
      </c>
      <c r="B103" s="19">
        <v>24750.74</v>
      </c>
      <c r="C103" s="19">
        <v>19476.02</v>
      </c>
      <c r="D103" s="19">
        <v>106.4813</v>
      </c>
      <c r="E103" s="19">
        <v>35.006500000000003</v>
      </c>
      <c r="F103" s="19">
        <v>33.2438</v>
      </c>
      <c r="G103" s="19">
        <v>149.91149999999999</v>
      </c>
      <c r="H103" s="19">
        <v>56.205300000000001</v>
      </c>
      <c r="I103" s="19">
        <v>130.70400000000001</v>
      </c>
      <c r="J103" s="19">
        <v>118.4648</v>
      </c>
      <c r="K103" s="19">
        <v>61.346499999999999</v>
      </c>
      <c r="L103" s="2"/>
      <c r="M103" s="2"/>
    </row>
    <row r="104" spans="1:13" ht="15" customHeight="1" x14ac:dyDescent="0.35">
      <c r="A104" s="4">
        <v>45625</v>
      </c>
      <c r="B104" s="19">
        <v>27168.36</v>
      </c>
      <c r="C104" s="19">
        <v>21265.66</v>
      </c>
      <c r="D104" s="19">
        <v>106.8754</v>
      </c>
      <c r="E104" s="19">
        <v>35.634999999999998</v>
      </c>
      <c r="F104" s="19">
        <v>33.491999999999997</v>
      </c>
      <c r="G104" s="19">
        <v>152.59950000000001</v>
      </c>
      <c r="H104" s="19">
        <v>56.680100000000003</v>
      </c>
      <c r="I104" s="19">
        <v>132.8528</v>
      </c>
      <c r="J104" s="19">
        <v>120.2589</v>
      </c>
      <c r="K104" s="19">
        <v>61.588299999999997</v>
      </c>
      <c r="L104" s="2"/>
      <c r="M104" s="2"/>
    </row>
    <row r="105" spans="1:13" ht="15" customHeight="1" x14ac:dyDescent="0.35">
      <c r="A105" s="4">
        <v>45657</v>
      </c>
      <c r="B105" s="19">
        <v>26065.73</v>
      </c>
      <c r="C105" s="19">
        <v>19948.669999999998</v>
      </c>
      <c r="D105" s="19">
        <v>107.3053</v>
      </c>
      <c r="E105" s="19">
        <v>33.707000000000001</v>
      </c>
      <c r="F105" s="19">
        <v>33.085999999999999</v>
      </c>
      <c r="G105" s="19">
        <v>148.5232</v>
      </c>
      <c r="H105" s="19">
        <v>54.66</v>
      </c>
      <c r="I105" s="19">
        <v>131.8245</v>
      </c>
      <c r="J105" s="19">
        <v>118.1431</v>
      </c>
      <c r="K105" s="19">
        <v>61.379300000000001</v>
      </c>
      <c r="L105" s="2"/>
      <c r="M105" s="2"/>
    </row>
    <row r="106" spans="1:13" ht="15" customHeight="1" x14ac:dyDescent="0.35">
      <c r="A106" s="4">
        <v>45688</v>
      </c>
      <c r="B106" s="19">
        <v>27581.42</v>
      </c>
      <c r="C106" s="19">
        <v>20590.240000000002</v>
      </c>
      <c r="D106" s="19">
        <v>107.68089999999999</v>
      </c>
      <c r="E106" s="19">
        <v>33.887099999999997</v>
      </c>
      <c r="F106" s="19">
        <v>33.299599999999998</v>
      </c>
      <c r="G106" s="19">
        <v>149.38509999999999</v>
      </c>
      <c r="H106" s="19">
        <v>55.303199999999997</v>
      </c>
      <c r="I106" s="19">
        <v>133.61799999999999</v>
      </c>
      <c r="J106" s="19">
        <v>118.80029999999999</v>
      </c>
      <c r="K106" s="19">
        <v>62.042499999999997</v>
      </c>
      <c r="L106" s="2"/>
      <c r="M106" s="2"/>
    </row>
    <row r="107" spans="1:13" ht="15" customHeight="1" x14ac:dyDescent="0.35">
      <c r="A107" s="4">
        <v>45716</v>
      </c>
      <c r="B107" s="19">
        <v>26599.96</v>
      </c>
      <c r="C107" s="19">
        <v>20599.32</v>
      </c>
      <c r="D107" s="19">
        <v>108.0292</v>
      </c>
      <c r="E107" s="19">
        <v>35.633200000000002</v>
      </c>
      <c r="F107" s="19">
        <v>33.948500000000003</v>
      </c>
      <c r="G107" s="19">
        <v>152.92660000000001</v>
      </c>
      <c r="H107" s="19">
        <v>55.681800000000003</v>
      </c>
      <c r="I107" s="19">
        <v>134.91540000000001</v>
      </c>
      <c r="J107" s="19">
        <v>121.6867</v>
      </c>
      <c r="K107" s="19">
        <v>62.864100000000001</v>
      </c>
      <c r="L107" s="2"/>
      <c r="M107" s="2"/>
    </row>
    <row r="108" spans="1:13" ht="15" customHeight="1" x14ac:dyDescent="0.35">
      <c r="A108" s="4">
        <v>45747</v>
      </c>
      <c r="B108" s="19">
        <v>24200.13</v>
      </c>
      <c r="C108" s="19">
        <v>20575.16</v>
      </c>
      <c r="D108" s="19">
        <v>108.3828</v>
      </c>
      <c r="E108" s="19">
        <v>35.312800000000003</v>
      </c>
      <c r="F108" s="19">
        <v>34.132399999999997</v>
      </c>
      <c r="G108" s="19">
        <v>152.21709999999999</v>
      </c>
      <c r="H108" s="19">
        <v>54.018500000000003</v>
      </c>
      <c r="I108" s="19">
        <v>133.45230000000001</v>
      </c>
      <c r="J108" s="19">
        <v>121.71259999999999</v>
      </c>
      <c r="K108" s="19">
        <v>62.771500000000003</v>
      </c>
      <c r="L108" s="2"/>
      <c r="M108" s="2"/>
    </row>
    <row r="109" spans="1:13" ht="15" customHeight="1" x14ac:dyDescent="0.35">
      <c r="A109" s="4">
        <v>45777</v>
      </c>
      <c r="B109" s="19">
        <v>24821.55</v>
      </c>
      <c r="C109" s="19">
        <v>19728.060000000001</v>
      </c>
      <c r="D109" s="19">
        <v>108.75190000000001</v>
      </c>
      <c r="E109" s="19">
        <v>34.9651</v>
      </c>
      <c r="F109" s="19">
        <v>34.567900000000002</v>
      </c>
      <c r="G109" s="19">
        <v>151.80289999999999</v>
      </c>
      <c r="H109" s="19">
        <v>53.351599999999998</v>
      </c>
      <c r="I109" s="19">
        <v>133.6079</v>
      </c>
      <c r="J109" s="19">
        <v>122.155</v>
      </c>
      <c r="K109" s="19">
        <v>63.638100000000001</v>
      </c>
      <c r="L109" s="2"/>
      <c r="M109" s="2"/>
    </row>
    <row r="110" spans="1:13" ht="15" customHeight="1" x14ac:dyDescent="0.35">
      <c r="A110" s="4">
        <v>45807</v>
      </c>
      <c r="B110" s="19">
        <v>27151.27</v>
      </c>
      <c r="C110" s="19">
        <v>20237.12</v>
      </c>
      <c r="D110" s="19">
        <v>109.1463</v>
      </c>
      <c r="E110" s="19">
        <v>33.922400000000003</v>
      </c>
      <c r="F110" s="19">
        <v>34.279699999999998</v>
      </c>
      <c r="G110" s="19">
        <v>152.1183</v>
      </c>
      <c r="H110" s="19">
        <v>53.750799999999998</v>
      </c>
      <c r="I110" s="19">
        <v>135.94999999999999</v>
      </c>
      <c r="J110" s="19">
        <v>121.092</v>
      </c>
      <c r="K110" s="19">
        <v>63.455800000000004</v>
      </c>
      <c r="L110" s="2"/>
      <c r="M110" s="2"/>
    </row>
    <row r="111" spans="1:13" ht="15" customHeight="1" x14ac:dyDescent="0.35">
      <c r="A111" s="4">
        <v>45838</v>
      </c>
      <c r="B111" s="19">
        <v>29014.42</v>
      </c>
      <c r="C111" s="19">
        <v>21042.240000000002</v>
      </c>
      <c r="D111" s="19">
        <v>109.512</v>
      </c>
      <c r="E111" s="19">
        <v>34.790999999999997</v>
      </c>
      <c r="F111" s="19">
        <v>34.692700000000002</v>
      </c>
      <c r="G111" s="19">
        <v>155.28809999999999</v>
      </c>
      <c r="H111" s="19">
        <v>54.868000000000002</v>
      </c>
      <c r="I111" s="19">
        <v>138.44890000000001</v>
      </c>
      <c r="J111" s="19">
        <v>123.14619999999999</v>
      </c>
      <c r="K111" s="19">
        <v>64.273300000000006</v>
      </c>
      <c r="L111" s="2"/>
      <c r="M111" s="2"/>
    </row>
    <row r="112" spans="1:13" ht="15" customHeight="1" x14ac:dyDescent="0.35">
      <c r="A112" s="4">
        <v>45869</v>
      </c>
      <c r="B112" s="19">
        <v>29701.19</v>
      </c>
      <c r="C112" s="19">
        <v>20659.72</v>
      </c>
      <c r="D112" s="19">
        <v>109.9029</v>
      </c>
      <c r="E112" s="19">
        <v>34.4754</v>
      </c>
      <c r="F112" s="19">
        <v>34.558999999999997</v>
      </c>
      <c r="G112" s="19">
        <v>155.148</v>
      </c>
      <c r="H112" s="19">
        <v>56.203899999999997</v>
      </c>
      <c r="I112" s="19">
        <v>138.63839999999999</v>
      </c>
      <c r="J112" s="19">
        <v>122.5046</v>
      </c>
      <c r="K112" s="19">
        <v>64.166499999999999</v>
      </c>
      <c r="L112" s="2"/>
      <c r="M112" s="2"/>
    </row>
    <row r="113" spans="1:13" ht="15" customHeight="1" x14ac:dyDescent="0.35">
      <c r="A113" s="4">
        <v>45898</v>
      </c>
      <c r="B113" s="19">
        <v>29771.41</v>
      </c>
      <c r="C113" s="19">
        <v>21973.32</v>
      </c>
      <c r="D113" s="19">
        <v>110.31059999999999</v>
      </c>
      <c r="E113" s="19">
        <v>34.5563</v>
      </c>
      <c r="F113" s="19">
        <v>35.082599999999999</v>
      </c>
      <c r="G113" s="19">
        <v>156.76169999999999</v>
      </c>
      <c r="H113" s="19">
        <v>56.877099999999999</v>
      </c>
      <c r="I113" s="19">
        <v>140.17169999999999</v>
      </c>
      <c r="J113" s="19">
        <v>124.62909999999999</v>
      </c>
      <c r="K113" s="19">
        <v>64.968599999999995</v>
      </c>
      <c r="L113" s="2"/>
      <c r="M113" s="2"/>
    </row>
    <row r="114" spans="1:13" ht="15" customHeight="1" x14ac:dyDescent="0.35">
      <c r="A114" s="4">
        <v>45930</v>
      </c>
      <c r="B114" s="19">
        <v>30281.87</v>
      </c>
      <c r="C114" s="19">
        <v>22444.74</v>
      </c>
      <c r="D114" s="19">
        <v>110.6748</v>
      </c>
      <c r="E114" s="19">
        <v>35.6449</v>
      </c>
      <c r="F114" s="19">
        <v>35.182899999999997</v>
      </c>
      <c r="G114" s="19">
        <v>159.70699999999999</v>
      </c>
      <c r="H114" s="19">
        <v>57.459899999999998</v>
      </c>
      <c r="I114" s="19">
        <v>141.41480000000001</v>
      </c>
      <c r="J114" s="19">
        <v>126.1399</v>
      </c>
      <c r="K114" s="19">
        <v>65.301100000000005</v>
      </c>
      <c r="L114" s="2"/>
      <c r="M114" s="2"/>
    </row>
    <row r="115" spans="1:13" ht="15" customHeight="1" x14ac:dyDescent="0.35">
      <c r="A115" s="4">
        <v>45961</v>
      </c>
      <c r="B115" s="19">
        <v>30194.2</v>
      </c>
      <c r="C115" s="19">
        <v>22376.7</v>
      </c>
      <c r="D115" s="19">
        <v>111.06270000000001</v>
      </c>
      <c r="E115" s="19">
        <v>36.095199999999998</v>
      </c>
      <c r="F115" s="19">
        <v>35.365000000000002</v>
      </c>
      <c r="G115" s="19">
        <v>159.9434</v>
      </c>
      <c r="H115" s="19">
        <v>57.0199</v>
      </c>
      <c r="I115" s="19">
        <v>141.39840000000001</v>
      </c>
      <c r="J115" s="19">
        <v>127.11799999999999</v>
      </c>
      <c r="K115" s="19">
        <v>65.468400000000003</v>
      </c>
      <c r="L115" s="2"/>
      <c r="M115" s="2"/>
    </row>
    <row r="116" spans="1:13" ht="15" customHeight="1" x14ac:dyDescent="0.35">
      <c r="A116" s="4">
        <v>45989</v>
      </c>
      <c r="B116" s="19">
        <v>29313</v>
      </c>
      <c r="C116" s="19">
        <v>23183.61</v>
      </c>
      <c r="D116" s="19">
        <v>111.3824</v>
      </c>
      <c r="E116" s="19">
        <v>36.2455</v>
      </c>
      <c r="F116" s="19">
        <v>35.6496</v>
      </c>
      <c r="G116" s="19">
        <v>161.435</v>
      </c>
      <c r="H116" s="19">
        <v>56.856099999999998</v>
      </c>
      <c r="I116" s="19">
        <v>142.4556</v>
      </c>
      <c r="J116" s="19">
        <v>127.86879999999999</v>
      </c>
      <c r="K116" s="19">
        <v>66.142799999999994</v>
      </c>
      <c r="L116" s="2"/>
      <c r="M116" s="2"/>
    </row>
    <row r="117" spans="1:13" ht="15" customHeight="1" x14ac:dyDescent="0.35">
      <c r="A117" s="4">
        <v>46022</v>
      </c>
      <c r="B117" s="19">
        <v>29651.07</v>
      </c>
      <c r="C117" s="19">
        <v>23485.33</v>
      </c>
      <c r="D117" s="19">
        <v>111.7564</v>
      </c>
      <c r="E117" s="19">
        <v>35.487499999999997</v>
      </c>
      <c r="F117" s="19">
        <v>35.553899999999999</v>
      </c>
      <c r="G117" s="19">
        <v>160.25059999999999</v>
      </c>
      <c r="H117" s="19">
        <v>57.321199999999997</v>
      </c>
      <c r="I117" s="19">
        <v>143.15770000000001</v>
      </c>
      <c r="J117" s="19">
        <v>128.04660000000001</v>
      </c>
      <c r="K117" s="19">
        <v>66.086299999999994</v>
      </c>
      <c r="L117" s="2"/>
      <c r="M117" s="2"/>
    </row>
    <row r="118" spans="1:13" ht="15" customHeight="1" x14ac:dyDescent="0.35">
      <c r="A118" s="4">
        <v>46052</v>
      </c>
      <c r="B118" s="19">
        <v>31026.45</v>
      </c>
      <c r="C118" s="19">
        <v>24410.3</v>
      </c>
      <c r="D118" s="19">
        <v>112.0866</v>
      </c>
      <c r="E118" s="19">
        <v>35.447299999999998</v>
      </c>
      <c r="F118" s="19">
        <v>35.541499999999999</v>
      </c>
      <c r="G118" s="19">
        <v>160.8032</v>
      </c>
      <c r="H118" s="19">
        <v>58.672800000000002</v>
      </c>
      <c r="I118" s="19">
        <v>144.02770000000001</v>
      </c>
      <c r="J118" s="19">
        <v>128.67859999999999</v>
      </c>
      <c r="K118" s="19">
        <v>66.396000000000001</v>
      </c>
      <c r="L118" s="2"/>
      <c r="M118" s="2"/>
    </row>
    <row r="119" spans="1:13" ht="15" customHeight="1" x14ac:dyDescent="0.35">
      <c r="A119" s="4">
        <v>46080</v>
      </c>
      <c r="B119" s="19">
        <v>31683.78</v>
      </c>
      <c r="C119" s="19">
        <v>25568.240000000002</v>
      </c>
      <c r="D119" s="19">
        <v>112.3858</v>
      </c>
      <c r="E119" s="19">
        <v>36.944600000000001</v>
      </c>
      <c r="F119" s="19">
        <v>36.139600000000002</v>
      </c>
      <c r="G119" s="19">
        <v>163.01939999999999</v>
      </c>
      <c r="H119" s="19">
        <v>58.481999999999999</v>
      </c>
      <c r="I119" s="19">
        <v>144.0249</v>
      </c>
      <c r="J119" s="19">
        <v>130.77719999999999</v>
      </c>
      <c r="K119" s="19">
        <v>67.372200000000007</v>
      </c>
      <c r="L119" s="2"/>
      <c r="M119" s="2"/>
    </row>
    <row r="120" spans="1:13" ht="15" customHeight="1" x14ac:dyDescent="0.35">
      <c r="A120" s="4">
        <v>46112</v>
      </c>
      <c r="B120" s="19">
        <v>29748.99</v>
      </c>
      <c r="C120" s="19">
        <v>24577.599999999999</v>
      </c>
      <c r="D120" s="19">
        <v>112.7093</v>
      </c>
      <c r="E120" s="19">
        <v>35.493499999999997</v>
      </c>
      <c r="F120" s="19">
        <v>35.549700000000001</v>
      </c>
      <c r="G120" s="19">
        <v>159.64189999999999</v>
      </c>
      <c r="H120" s="19">
        <v>56.508400000000002</v>
      </c>
      <c r="I120" s="19">
        <v>142.6514</v>
      </c>
      <c r="J120" s="19">
        <v>128.56950000000001</v>
      </c>
      <c r="K120" s="19">
        <v>66.002200000000002</v>
      </c>
      <c r="L120" s="2"/>
      <c r="M120" s="2"/>
    </row>
    <row r="121" spans="1:13" ht="15" customHeight="1" x14ac:dyDescent="0.35">
      <c r="A121" s="4">
        <v>46142</v>
      </c>
      <c r="B121" s="19">
        <v>34584.589999999997</v>
      </c>
      <c r="C121" s="19">
        <v>25477.57</v>
      </c>
      <c r="D121" s="19">
        <v>113.03440000000001</v>
      </c>
      <c r="E121" s="19">
        <v>35.227699999999999</v>
      </c>
      <c r="F121" s="19">
        <v>35.5289</v>
      </c>
      <c r="G121" s="19">
        <v>160.09190000000001</v>
      </c>
      <c r="H121" s="19">
        <v>58.888399999999997</v>
      </c>
      <c r="I121" s="19">
        <v>144.8185</v>
      </c>
      <c r="J121" s="19">
        <v>128.79069999999999</v>
      </c>
      <c r="K121" s="19">
        <v>66.404700000000005</v>
      </c>
      <c r="L121" s="2"/>
      <c r="M121" s="2"/>
    </row>
    <row r="122" spans="1:13" ht="15" customHeight="1" x14ac:dyDescent="0.35">
      <c r="A122" s="4">
        <v>46171</v>
      </c>
      <c r="B122" s="19">
        <v>38258.230000000003</v>
      </c>
      <c r="C122" s="19">
        <v>25935.41</v>
      </c>
      <c r="D122" s="19">
        <v>113.393</v>
      </c>
      <c r="E122" s="19">
        <v>35.390599999999999</v>
      </c>
      <c r="F122" s="19">
        <v>35.504199999999997</v>
      </c>
      <c r="G122" s="19">
        <v>161.4708</v>
      </c>
      <c r="H122" s="19">
        <v>59.358400000000003</v>
      </c>
      <c r="I122" s="19">
        <v>145.44909999999999</v>
      </c>
      <c r="J122" s="19">
        <v>129.2604</v>
      </c>
      <c r="K122" s="19">
        <v>66.502200000000002</v>
      </c>
      <c r="L122" s="2"/>
      <c r="M12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6328125" defaultRowHeight="14.5" x14ac:dyDescent="0.35"/>
  <cols>
    <col min="1" max="1" width="12" customWidth="1"/>
    <col min="2" max="11" width="22" customWidth="1"/>
  </cols>
  <sheetData>
    <row r="1" spans="1:11" ht="15" customHeight="1" x14ac:dyDescent="0.3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35">
      <c r="A2" s="4">
        <f>Data!A3</f>
        <v>42551</v>
      </c>
      <c r="B2" s="5">
        <f>Data!B3/Data!B2-1</f>
        <v>-8.0225238050045666E-3</v>
      </c>
      <c r="C2" s="5">
        <f>Data!C3/Data!C2-1</f>
        <v>-1.1751223744740802E-2</v>
      </c>
      <c r="D2" s="5">
        <f>Data!D3/Data!D2-1</f>
        <v>-2.1877050973528878E-4</v>
      </c>
      <c r="E2" s="5">
        <f>Data!E3/Data!E2-1</f>
        <v>6.5035814951772686E-2</v>
      </c>
      <c r="F2" s="5">
        <f>Data!F3/Data!F2-1</f>
        <v>1.4839075800567647E-2</v>
      </c>
      <c r="G2" s="5">
        <f>Data!G3/Data!G2-1</f>
        <v>3.0900181216444444E-2</v>
      </c>
      <c r="H2" s="5">
        <f>Data!H3/Data!H2-1</f>
        <v>1.1828954731227581E-2</v>
      </c>
      <c r="I2" s="5">
        <f>Data!I3/Data!I2-1</f>
        <v>1.7917589839978154E-2</v>
      </c>
      <c r="J2" s="5">
        <f>Data!J3/Data!J2-1</f>
        <v>7.3956579530349842E-3</v>
      </c>
      <c r="K2" s="5">
        <f>Data!K3/Data!K2-1</f>
        <v>1.8241798726199798E-2</v>
      </c>
    </row>
    <row r="3" spans="1:11" ht="15" customHeight="1" x14ac:dyDescent="0.35">
      <c r="A3" s="4">
        <f>Data!A4</f>
        <v>42580</v>
      </c>
      <c r="B3" s="5">
        <f>Data!B4/Data!B3-1</f>
        <v>4.9298304918987679E-2</v>
      </c>
      <c r="C3" s="5">
        <f>Data!C4/Data!C3-1</f>
        <v>4.4205381025270496E-2</v>
      </c>
      <c r="D3" s="5">
        <f>Data!D4/Data!D3-1</f>
        <v>4.3763676148778075E-4</v>
      </c>
      <c r="E3" s="5">
        <f>Data!E4/Data!E3-1</f>
        <v>2.0128198902539696E-2</v>
      </c>
      <c r="F3" s="5">
        <f>Data!F4/Data!F3-1</f>
        <v>9.5222574780073899E-4</v>
      </c>
      <c r="G3" s="5">
        <f>Data!G4/Data!G3-1</f>
        <v>1.2946841342429627E-2</v>
      </c>
      <c r="H3" s="5">
        <f>Data!H4/Data!H3-1</f>
        <v>1.3951795252329369E-2</v>
      </c>
      <c r="I3" s="5">
        <f>Data!I4/Data!I3-1</f>
        <v>1.3119119669876111E-2</v>
      </c>
      <c r="J3" s="5">
        <f>Data!J4/Data!J3-1</f>
        <v>3.0857301692577277E-3</v>
      </c>
      <c r="K3" s="5">
        <f>Data!K4/Data!K3-1</f>
        <v>6.8451222565149017E-3</v>
      </c>
    </row>
    <row r="4" spans="1:11" ht="15" customHeight="1" x14ac:dyDescent="0.35">
      <c r="A4" s="4">
        <f>Data!A5</f>
        <v>42613</v>
      </c>
      <c r="B4" s="5">
        <f>Data!B5/Data!B4-1</f>
        <v>-5.315581634244948E-3</v>
      </c>
      <c r="C4" s="5">
        <f>Data!C5/Data!C4-1</f>
        <v>-3.3759736860196066E-3</v>
      </c>
      <c r="D4" s="5">
        <f>Data!D5/Data!D4-1</f>
        <v>0</v>
      </c>
      <c r="E4" s="5">
        <f>Data!E5/Data!E4-1</f>
        <v>-1.0379626323931967E-2</v>
      </c>
      <c r="F4" s="5">
        <f>Data!F5/Data!F4-1</f>
        <v>-5.6664187275936584E-3</v>
      </c>
      <c r="G4" s="5">
        <f>Data!G5/Data!G4-1</f>
        <v>1.815556427570808E-3</v>
      </c>
      <c r="H4" s="5">
        <f>Data!H5/Data!H4-1</f>
        <v>2.4394397573446192E-4</v>
      </c>
      <c r="I4" s="5">
        <f>Data!I5/Data!I4-1</f>
        <v>1.970408571130644E-2</v>
      </c>
      <c r="J4" s="5">
        <f>Data!J5/Data!J4-1</f>
        <v>-1.5346111821412656E-4</v>
      </c>
      <c r="K4" s="5">
        <f>Data!K5/Data!K4-1</f>
        <v>-2.7168931954256736E-3</v>
      </c>
    </row>
    <row r="5" spans="1:11" ht="15" customHeight="1" x14ac:dyDescent="0.35">
      <c r="A5" s="4">
        <f>Data!A6</f>
        <v>42643</v>
      </c>
      <c r="B5" s="5">
        <f>Data!B6/Data!B5-1</f>
        <v>-1.1875528975373584E-3</v>
      </c>
      <c r="C5" s="5">
        <f>Data!C6/Data!C5-1</f>
        <v>2.0598251324137618E-3</v>
      </c>
      <c r="D5" s="5">
        <f>Data!D6/Data!D5-1</f>
        <v>2.1872265966749183E-4</v>
      </c>
      <c r="E5" s="5">
        <f>Data!E6/Data!E5-1</f>
        <v>-1.3542926821055845E-2</v>
      </c>
      <c r="F5" s="5">
        <f>Data!F6/Data!F5-1</f>
        <v>2.6165907908846098E-3</v>
      </c>
      <c r="G5" s="5">
        <f>Data!G6/Data!G5-1</f>
        <v>-3.1574216723946336E-3</v>
      </c>
      <c r="H5" s="5">
        <f>Data!H6/Data!H5-1</f>
        <v>-1.0742421174694927E-2</v>
      </c>
      <c r="I5" s="5">
        <f>Data!I6/Data!I5-1</f>
        <v>1.0777439170527092E-2</v>
      </c>
      <c r="J5" s="5">
        <f>Data!J6/Data!J5-1</f>
        <v>3.0521523374837933E-3</v>
      </c>
      <c r="K5" s="5">
        <f>Data!K6/Data!K5-1</f>
        <v>-4.7497725204725949E-4</v>
      </c>
    </row>
    <row r="6" spans="1:11" ht="15" customHeight="1" x14ac:dyDescent="0.35">
      <c r="A6" s="4">
        <f>Data!A7</f>
        <v>42674</v>
      </c>
      <c r="B6" s="5">
        <f>Data!B7/Data!B6-1</f>
        <v>-2.5099802688936745E-2</v>
      </c>
      <c r="C6" s="5">
        <f>Data!C7/Data!C6-1</f>
        <v>-9.849044854456479E-3</v>
      </c>
      <c r="D6" s="5">
        <f>Data!D7/Data!D6-1</f>
        <v>2.1867483052706582E-4</v>
      </c>
      <c r="E6" s="5">
        <f>Data!E7/Data!E6-1</f>
        <v>-4.2191058080056965E-2</v>
      </c>
      <c r="F6" s="5">
        <f>Data!F7/Data!F6-1</f>
        <v>-5.4020474624466575E-3</v>
      </c>
      <c r="G6" s="5">
        <f>Data!G7/Data!G6-1</f>
        <v>-1.5281289201968473E-2</v>
      </c>
      <c r="H6" s="5">
        <f>Data!H7/Data!H6-1</f>
        <v>-9.7147894121121237E-3</v>
      </c>
      <c r="I6" s="5">
        <f>Data!I7/Data!I6-1</f>
        <v>-9.8300087150698934E-3</v>
      </c>
      <c r="J6" s="5">
        <f>Data!J7/Data!J6-1</f>
        <v>-2.7473224099141547E-3</v>
      </c>
      <c r="K6" s="5">
        <f>Data!K7/Data!K6-1</f>
        <v>-1.3085378132288605E-2</v>
      </c>
    </row>
    <row r="7" spans="1:11" ht="15" customHeight="1" x14ac:dyDescent="0.35">
      <c r="A7" s="4">
        <f>Data!A8</f>
        <v>42704</v>
      </c>
      <c r="B7" s="5">
        <f>Data!B8/Data!B7-1</f>
        <v>1.5919336450259891E-2</v>
      </c>
      <c r="C7" s="5">
        <f>Data!C8/Data!C7-1</f>
        <v>8.5612768114794902E-2</v>
      </c>
      <c r="D7" s="5">
        <f>Data!D8/Data!D7-1</f>
        <v>-4.3725404459993289E-4</v>
      </c>
      <c r="E7" s="5">
        <f>Data!E8/Data!E7-1</f>
        <v>-7.9075379340363905E-2</v>
      </c>
      <c r="F7" s="5">
        <f>Data!F8/Data!F7-1</f>
        <v>-1.8229116361130893E-2</v>
      </c>
      <c r="G7" s="5">
        <f>Data!G8/Data!G7-1</f>
        <v>-3.166873108703494E-2</v>
      </c>
      <c r="H7" s="5">
        <f>Data!H8/Data!H7-1</f>
        <v>-3.3293720319597209E-2</v>
      </c>
      <c r="I7" s="5">
        <f>Data!I8/Data!I7-1</f>
        <v>2.0114878304977601E-4</v>
      </c>
      <c r="J7" s="5">
        <f>Data!J8/Data!J7-1</f>
        <v>-1.8810767397592465E-2</v>
      </c>
      <c r="K7" s="5">
        <f>Data!K8/Data!K7-1</f>
        <v>-2.0217617497952256E-2</v>
      </c>
    </row>
    <row r="8" spans="1:11" ht="15" customHeight="1" x14ac:dyDescent="0.35">
      <c r="A8" s="4">
        <f>Data!A9</f>
        <v>42734</v>
      </c>
      <c r="B8" s="5">
        <f>Data!B9/Data!B8-1</f>
        <v>3.0320501600964445E-3</v>
      </c>
      <c r="C8" s="5">
        <f>Data!C9/Data!C8-1</f>
        <v>1.6581313460716229E-2</v>
      </c>
      <c r="D8" s="5">
        <f>Data!D9/Data!D8-1</f>
        <v>2.2747156605440466E-4</v>
      </c>
      <c r="E8" s="5">
        <f>Data!E9/Data!E8-1</f>
        <v>-4.3146815261977389E-3</v>
      </c>
      <c r="F8" s="5">
        <f>Data!F9/Data!F8-1</f>
        <v>2.9514002754638113E-5</v>
      </c>
      <c r="G8" s="5">
        <f>Data!G9/Data!G8-1</f>
        <v>8.4027966683506428E-3</v>
      </c>
      <c r="H8" s="5">
        <f>Data!H9/Data!H8-1</f>
        <v>3.1145987706808764E-3</v>
      </c>
      <c r="I8" s="5">
        <f>Data!I9/Data!I8-1</f>
        <v>1.8394495803326638E-2</v>
      </c>
      <c r="J8" s="5">
        <f>Data!J9/Data!J8-1</f>
        <v>-1.1768774412164174E-3</v>
      </c>
      <c r="K8" s="5">
        <f>Data!K9/Data!K8-1</f>
        <v>2.0580199701372148E-3</v>
      </c>
    </row>
    <row r="9" spans="1:11" ht="15" customHeight="1" x14ac:dyDescent="0.35">
      <c r="A9" s="4">
        <f>Data!A10</f>
        <v>42766</v>
      </c>
      <c r="B9" s="5">
        <f>Data!B10/Data!B9-1</f>
        <v>2.922190231309707E-2</v>
      </c>
      <c r="C9" s="5">
        <f>Data!C10/Data!C9-1</f>
        <v>1.2596091596661418E-2</v>
      </c>
      <c r="D9" s="5">
        <f>Data!D10/Data!D9-1</f>
        <v>4.3734583559285056E-4</v>
      </c>
      <c r="E9" s="5">
        <f>Data!E10/Data!E9-1</f>
        <v>7.4758416220883639E-3</v>
      </c>
      <c r="F9" s="5">
        <f>Data!F10/Data!F9-1</f>
        <v>2.5118954316951658E-3</v>
      </c>
      <c r="G9" s="5">
        <f>Data!G10/Data!G9-1</f>
        <v>1.4507495807116744E-3</v>
      </c>
      <c r="H9" s="5">
        <f>Data!H10/Data!H9-1</f>
        <v>2.3919087800199579E-2</v>
      </c>
      <c r="I9" s="5">
        <f>Data!I10/Data!I9-1</f>
        <v>9.1277731514327609E-3</v>
      </c>
      <c r="J9" s="5">
        <f>Data!J10/Data!J9-1</f>
        <v>9.4028518106958892E-4</v>
      </c>
      <c r="K9" s="5">
        <f>Data!K10/Data!K9-1</f>
        <v>1.3698218292099718E-3</v>
      </c>
    </row>
    <row r="10" spans="1:11" ht="15" customHeight="1" x14ac:dyDescent="0.35">
      <c r="A10" s="4">
        <f>Data!A11</f>
        <v>42794</v>
      </c>
      <c r="B10" s="5">
        <f>Data!B11/Data!B10-1</f>
        <v>3.0718935997063879E-2</v>
      </c>
      <c r="C10" s="5">
        <f>Data!C11/Data!C10-1</f>
        <v>4.223578111166959E-2</v>
      </c>
      <c r="D10" s="5">
        <f>Data!D11/Data!D10-1</f>
        <v>4.9398475204598391E-4</v>
      </c>
      <c r="E10" s="5">
        <f>Data!E11/Data!E10-1</f>
        <v>1.6201917778022823E-2</v>
      </c>
      <c r="F10" s="5">
        <f>Data!F11/Data!F10-1</f>
        <v>1.9331730533340696E-3</v>
      </c>
      <c r="G10" s="5">
        <f>Data!G11/Data!G10-1</f>
        <v>1.3211797622197263E-2</v>
      </c>
      <c r="H10" s="5">
        <f>Data!H11/Data!H10-1</f>
        <v>2.0879063694508648E-2</v>
      </c>
      <c r="I10" s="5">
        <f>Data!I11/Data!I10-1</f>
        <v>1.5303137764478558E-2</v>
      </c>
      <c r="J10" s="5">
        <f>Data!J11/Data!J10-1</f>
        <v>4.7345496993647096E-3</v>
      </c>
      <c r="K10" s="5">
        <f>Data!K11/Data!K10-1</f>
        <v>5.5262096206711853E-3</v>
      </c>
    </row>
    <row r="11" spans="1:11" ht="15" customHeight="1" x14ac:dyDescent="0.35">
      <c r="A11" s="4">
        <f>Data!A12</f>
        <v>42825</v>
      </c>
      <c r="B11" s="5">
        <f>Data!B12/Data!B11-1</f>
        <v>1.4926860608453163E-2</v>
      </c>
      <c r="C11" s="5">
        <f>Data!C12/Data!C11-1</f>
        <v>-2.4628221210446055E-2</v>
      </c>
      <c r="D11" s="5">
        <f>Data!D12/Data!D11-1</f>
        <v>-1.7149848163777737E-4</v>
      </c>
      <c r="E11" s="5">
        <f>Data!E12/Data!E11-1</f>
        <v>-6.9983731019523931E-3</v>
      </c>
      <c r="F11" s="5">
        <f>Data!F12/Data!F11-1</f>
        <v>1.1002069825598593E-3</v>
      </c>
      <c r="G11" s="5">
        <f>Data!G12/Data!G11-1</f>
        <v>-2.9370574039641051E-3</v>
      </c>
      <c r="H11" s="5">
        <f>Data!H12/Data!H11-1</f>
        <v>4.9745710677835397E-3</v>
      </c>
      <c r="I11" s="5">
        <f>Data!I12/Data!I11-1</f>
        <v>-1.4491201770353568E-3</v>
      </c>
      <c r="J11" s="5">
        <f>Data!J12/Data!J11-1</f>
        <v>1.2187592852552775E-4</v>
      </c>
      <c r="K11" s="5">
        <f>Data!K12/Data!K11-1</f>
        <v>4.6467360877855413E-4</v>
      </c>
    </row>
    <row r="12" spans="1:11" ht="15" customHeight="1" x14ac:dyDescent="0.35">
      <c r="A12" s="4">
        <f>Data!A13</f>
        <v>42853</v>
      </c>
      <c r="B12" s="5">
        <f>Data!B13/Data!B12-1</f>
        <v>1.9757219955897964E-2</v>
      </c>
      <c r="C12" s="5">
        <f>Data!C13/Data!C12-1</f>
        <v>1.9865647963768218E-4</v>
      </c>
      <c r="D12" s="5">
        <f>Data!D13/Data!D12-1</f>
        <v>7.5384872550410265E-4</v>
      </c>
      <c r="E12" s="5">
        <f>Data!E13/Data!E12-1</f>
        <v>1.5815673135473496E-2</v>
      </c>
      <c r="F12" s="5">
        <f>Data!F13/Data!F12-1</f>
        <v>5.1884438907785491E-3</v>
      </c>
      <c r="G12" s="5">
        <f>Data!G13/Data!G12-1</f>
        <v>1.1878857712409152E-2</v>
      </c>
      <c r="H12" s="5">
        <f>Data!H13/Data!H12-1</f>
        <v>1.2966233382978753E-2</v>
      </c>
      <c r="I12" s="5">
        <f>Data!I13/Data!I12-1</f>
        <v>8.1548325425306878E-3</v>
      </c>
      <c r="J12" s="5">
        <f>Data!J13/Data!J12-1</f>
        <v>6.255831764112596E-3</v>
      </c>
      <c r="K12" s="5">
        <f>Data!K13/Data!K12-1</f>
        <v>6.0677959146366867E-3</v>
      </c>
    </row>
    <row r="13" spans="1:11" ht="15" customHeight="1" x14ac:dyDescent="0.35">
      <c r="A13" s="4">
        <f>Data!A14</f>
        <v>42886</v>
      </c>
      <c r="B13" s="5">
        <f>Data!B14/Data!B13-1</f>
        <v>3.1822350529188359E-2</v>
      </c>
      <c r="C13" s="5">
        <f>Data!C14/Data!C13-1</f>
        <v>-1.0350676709847795E-2</v>
      </c>
      <c r="D13" s="5">
        <f>Data!D14/Data!D13-1</f>
        <v>1.4519761613907001E-4</v>
      </c>
      <c r="E13" s="5">
        <f>Data!E14/Data!E13-1</f>
        <v>1.8010220127899546E-2</v>
      </c>
      <c r="F13" s="5">
        <f>Data!F14/Data!F13-1</f>
        <v>3.9353218658551015E-3</v>
      </c>
      <c r="G13" s="5">
        <f>Data!G14/Data!G13-1</f>
        <v>1.3336135712532338E-2</v>
      </c>
      <c r="H13" s="5">
        <f>Data!H14/Data!H13-1</f>
        <v>5.5398005307647491E-3</v>
      </c>
      <c r="I13" s="5">
        <f>Data!I14/Data!I13-1</f>
        <v>1.0305330752188757E-2</v>
      </c>
      <c r="J13" s="5">
        <f>Data!J14/Data!J13-1</f>
        <v>5.2534156483365901E-3</v>
      </c>
      <c r="K13" s="5">
        <f>Data!K14/Data!K13-1</f>
        <v>8.0261494135664968E-3</v>
      </c>
    </row>
    <row r="14" spans="1:11" ht="15" customHeight="1" x14ac:dyDescent="0.35">
      <c r="A14" s="4">
        <f>Data!A15</f>
        <v>42916</v>
      </c>
      <c r="B14" s="5">
        <f>Data!B15/Data!B14-1</f>
        <v>2.591293254665672E-4</v>
      </c>
      <c r="C14" s="5">
        <f>Data!C15/Data!C14-1</f>
        <v>2.783849336567279E-2</v>
      </c>
      <c r="D14" s="5">
        <f>Data!D15/Data!D14-1</f>
        <v>1.0293343928673426E-3</v>
      </c>
      <c r="E14" s="5">
        <f>Data!E15/Data!E14-1</f>
        <v>6.2026188835286877E-3</v>
      </c>
      <c r="F14" s="5">
        <f>Data!F15/Data!F14-1</f>
        <v>-2.837319476356237E-3</v>
      </c>
      <c r="G14" s="5">
        <f>Data!G15/Data!G14-1</f>
        <v>4.8053109947125972E-3</v>
      </c>
      <c r="H14" s="5">
        <f>Data!H15/Data!H14-1</f>
        <v>8.0036215482117701E-3</v>
      </c>
      <c r="I14" s="5">
        <f>Data!I15/Data!I14-1</f>
        <v>1.3155097800934268E-3</v>
      </c>
      <c r="J14" s="5">
        <f>Data!J15/Data!J14-1</f>
        <v>-3.0671636738077712E-3</v>
      </c>
      <c r="K14" s="5">
        <f>Data!K15/Data!K14-1</f>
        <v>-4.5650930399805389E-3</v>
      </c>
    </row>
    <row r="15" spans="1:11" ht="15" customHeight="1" x14ac:dyDescent="0.35">
      <c r="A15" s="4">
        <f>Data!A16</f>
        <v>42947</v>
      </c>
      <c r="B15" s="5">
        <f>Data!B16/Data!B15-1</f>
        <v>3.3074814625600801E-2</v>
      </c>
      <c r="C15" s="5">
        <f>Data!C16/Data!C15-1</f>
        <v>2.2717556065140476E-2</v>
      </c>
      <c r="D15" s="5">
        <f>Data!D16/Data!D15-1</f>
        <v>3.3258129977120632E-4</v>
      </c>
      <c r="E15" s="5">
        <f>Data!E16/Data!E15-1</f>
        <v>-5.1356741720464116E-3</v>
      </c>
      <c r="F15" s="5">
        <f>Data!F16/Data!F15-1</f>
        <v>3.4741014165389217E-3</v>
      </c>
      <c r="G15" s="5">
        <f>Data!G16/Data!G15-1</f>
        <v>7.6614334975710907E-3</v>
      </c>
      <c r="H15" s="5">
        <f>Data!H16/Data!H15-1</f>
        <v>6.6331938132107027E-3</v>
      </c>
      <c r="I15" s="5">
        <f>Data!I16/Data!I15-1</f>
        <v>1.0198829612955151E-2</v>
      </c>
      <c r="J15" s="5">
        <f>Data!J16/Data!J15-1</f>
        <v>5.0638650318113321E-3</v>
      </c>
      <c r="K15" s="5">
        <f>Data!K16/Data!K15-1</f>
        <v>7.9507177449007482E-3</v>
      </c>
    </row>
    <row r="16" spans="1:11" ht="15" customHeight="1" x14ac:dyDescent="0.35">
      <c r="A16" s="4">
        <f>Data!A17</f>
        <v>42978</v>
      </c>
      <c r="B16" s="5">
        <f>Data!B17/Data!B16-1</f>
        <v>9.650187286935008E-3</v>
      </c>
      <c r="C16" s="5">
        <f>Data!C17/Data!C16-1</f>
        <v>-2.1027591305205373E-2</v>
      </c>
      <c r="D16" s="5">
        <f>Data!D17/Data!D16-1</f>
        <v>1.1304004691652381E-3</v>
      </c>
      <c r="E16" s="5">
        <f>Data!E17/Data!E16-1</f>
        <v>3.2394890043075275E-2</v>
      </c>
      <c r="F16" s="5">
        <f>Data!F17/Data!F16-1</f>
        <v>5.8034950151950593E-3</v>
      </c>
      <c r="G16" s="5">
        <f>Data!G17/Data!G16-1</f>
        <v>6.7608471658713309E-3</v>
      </c>
      <c r="H16" s="5">
        <f>Data!H17/Data!H16-1</f>
        <v>-6.0898079368276736E-4</v>
      </c>
      <c r="I16" s="5">
        <f>Data!I17/Data!I16-1</f>
        <v>6.4728511967837576E-4</v>
      </c>
      <c r="J16" s="5">
        <f>Data!J17/Data!J16-1</f>
        <v>7.2086777947448777E-3</v>
      </c>
      <c r="K16" s="5">
        <f>Data!K17/Data!K16-1</f>
        <v>1.1713766149965554E-2</v>
      </c>
    </row>
    <row r="17" spans="1:11" ht="15" customHeight="1" x14ac:dyDescent="0.35">
      <c r="A17" s="4">
        <f>Data!A18</f>
        <v>43007</v>
      </c>
      <c r="B17" s="5">
        <f>Data!B18/Data!B17-1</f>
        <v>2.1630878626350603E-2</v>
      </c>
      <c r="C17" s="5">
        <f>Data!C18/Data!C17-1</f>
        <v>3.7761292803217827E-2</v>
      </c>
      <c r="D17" s="5">
        <f>Data!D18/Data!D17-1</f>
        <v>7.1972134480113859E-4</v>
      </c>
      <c r="E17" s="5">
        <f>Data!E18/Data!E17-1</f>
        <v>-2.1942644563906377E-2</v>
      </c>
      <c r="F17" s="5">
        <f>Data!F18/Data!F17-1</f>
        <v>-5.9241325721330895E-3</v>
      </c>
      <c r="G17" s="5">
        <f>Data!G18/Data!G17-1</f>
        <v>-4.821150501134186E-4</v>
      </c>
      <c r="H17" s="5">
        <f>Data!H18/Data!H17-1</f>
        <v>-1.6093139322838068E-3</v>
      </c>
      <c r="I17" s="5">
        <f>Data!I18/Data!I17-1</f>
        <v>6.0060506279457915E-3</v>
      </c>
      <c r="J17" s="5">
        <f>Data!J18/Data!J17-1</f>
        <v>-3.1925442242308755E-3</v>
      </c>
      <c r="K17" s="5">
        <f>Data!K18/Data!K17-1</f>
        <v>-1.0391337592543515E-2</v>
      </c>
    </row>
    <row r="18" spans="1:11" ht="15" customHeight="1" x14ac:dyDescent="0.35">
      <c r="A18" s="4">
        <f>Data!A19</f>
        <v>43039</v>
      </c>
      <c r="B18" s="5">
        <f>Data!B19/Data!B18-1</f>
        <v>3.4874746049421645E-2</v>
      </c>
      <c r="C18" s="5">
        <f>Data!C19/Data!C18-1</f>
        <v>1.5231794567605705E-2</v>
      </c>
      <c r="D18" s="5">
        <f>Data!D19/Data!D18-1</f>
        <v>6.941784756797631E-4</v>
      </c>
      <c r="E18" s="5">
        <f>Data!E19/Data!E18-1</f>
        <v>-1.3584258978682762E-4</v>
      </c>
      <c r="F18" s="5">
        <f>Data!F19/Data!F18-1</f>
        <v>-1.2952489235867892E-3</v>
      </c>
      <c r="G18" s="5">
        <f>Data!G19/Data!G18-1</f>
        <v>1.9225539659608604E-3</v>
      </c>
      <c r="H18" s="5">
        <f>Data!H19/Data!H18-1</f>
        <v>-3.7380168836743666E-3</v>
      </c>
      <c r="I18" s="5">
        <f>Data!I19/Data!I18-1</f>
        <v>8.507747071768712E-4</v>
      </c>
      <c r="J18" s="5">
        <f>Data!J19/Data!J18-1</f>
        <v>1.4160715378364053E-4</v>
      </c>
      <c r="K18" s="5">
        <f>Data!K19/Data!K18-1</f>
        <v>2.285015389065892E-3</v>
      </c>
    </row>
    <row r="19" spans="1:11" ht="15" customHeight="1" x14ac:dyDescent="0.35">
      <c r="A19" s="4">
        <f>Data!A20</f>
        <v>43069</v>
      </c>
      <c r="B19" s="5">
        <f>Data!B20/Data!B19-1</f>
        <v>2.3606971038337088E-2</v>
      </c>
      <c r="C19" s="5">
        <f>Data!C20/Data!C19-1</f>
        <v>4.7276698965246444E-2</v>
      </c>
      <c r="D19" s="5">
        <f>Data!D20/Data!D19-1</f>
        <v>5.3930043165784092E-4</v>
      </c>
      <c r="E19" s="5">
        <f>Data!E20/Data!E19-1</f>
        <v>6.0693309366051107E-3</v>
      </c>
      <c r="F19" s="5">
        <f>Data!F20/Data!F19-1</f>
        <v>-2.4256772490879319E-3</v>
      </c>
      <c r="G19" s="5">
        <f>Data!G20/Data!G19-1</f>
        <v>-1.2357762532325678E-3</v>
      </c>
      <c r="H19" s="5">
        <f>Data!H20/Data!H19-1</f>
        <v>6.8129185142631332E-3</v>
      </c>
      <c r="I19" s="5">
        <f>Data!I20/Data!I19-1</f>
        <v>-3.6776533855957805E-3</v>
      </c>
      <c r="J19" s="5">
        <f>Data!J20/Data!J19-1</f>
        <v>-1.4595707638360711E-3</v>
      </c>
      <c r="K19" s="5">
        <f>Data!K20/Data!K19-1</f>
        <v>-2.6268918462226676E-3</v>
      </c>
    </row>
    <row r="20" spans="1:11" ht="15" customHeight="1" x14ac:dyDescent="0.35">
      <c r="A20" s="4">
        <f>Data!A21</f>
        <v>43098</v>
      </c>
      <c r="B20" s="5">
        <f>Data!B21/Data!B20-1</f>
        <v>-9.0332272221361753E-3</v>
      </c>
      <c r="C20" s="5">
        <f>Data!C21/Data!C20-1</f>
        <v>1.7558585160520224E-2</v>
      </c>
      <c r="D20" s="5">
        <f>Data!D21/Data!D20-1</f>
        <v>7.3787825769433546E-4</v>
      </c>
      <c r="E20" s="5">
        <f>Data!E21/Data!E20-1</f>
        <v>1.9866672553088272E-2</v>
      </c>
      <c r="F20" s="5">
        <f>Data!F21/Data!F20-1</f>
        <v>-1.0698932052055632E-3</v>
      </c>
      <c r="G20" s="5">
        <f>Data!G21/Data!G20-1</f>
        <v>1.219390926984576E-2</v>
      </c>
      <c r="H20" s="5">
        <f>Data!H21/Data!H20-1</f>
        <v>-5.1887843801541322E-3</v>
      </c>
      <c r="I20" s="5">
        <f>Data!I21/Data!I20-1</f>
        <v>2.4548940376489803E-3</v>
      </c>
      <c r="J20" s="5">
        <f>Data!J21/Data!J20-1</f>
        <v>2.6678290278703276E-3</v>
      </c>
      <c r="K20" s="5">
        <f>Data!K21/Data!K20-1</f>
        <v>3.4781684942770674E-3</v>
      </c>
    </row>
    <row r="21" spans="1:11" ht="15" customHeight="1" x14ac:dyDescent="0.35">
      <c r="A21" s="4">
        <f>Data!A22</f>
        <v>43131</v>
      </c>
      <c r="B21" s="5">
        <f>Data!B22/Data!B21-1</f>
        <v>8.3356816635895337E-2</v>
      </c>
      <c r="C21" s="5">
        <f>Data!C22/Data!C21-1</f>
        <v>4.6636470805179187E-2</v>
      </c>
      <c r="D21" s="5">
        <f>Data!D22/Data!D21-1</f>
        <v>1.3128675133160517E-3</v>
      </c>
      <c r="E21" s="5">
        <f>Data!E22/Data!E21-1</f>
        <v>-3.3889543870013306E-2</v>
      </c>
      <c r="F21" s="5">
        <f>Data!F22/Data!F21-1</f>
        <v>-9.5192657215557031E-3</v>
      </c>
      <c r="G21" s="5">
        <f>Data!G22/Data!G21-1</f>
        <v>-1.225774180073691E-2</v>
      </c>
      <c r="H21" s="5">
        <f>Data!H22/Data!H21-1</f>
        <v>-1.1820797074823197E-2</v>
      </c>
      <c r="I21" s="5">
        <f>Data!I22/Data!I21-1</f>
        <v>4.5805722661618198E-4</v>
      </c>
      <c r="J21" s="5">
        <f>Data!J22/Data!J21-1</f>
        <v>-1.1539435205796478E-2</v>
      </c>
      <c r="K21" s="5">
        <f>Data!K22/Data!K21-1</f>
        <v>-9.7522067037065785E-3</v>
      </c>
    </row>
    <row r="22" spans="1:11" ht="15" customHeight="1" x14ac:dyDescent="0.35">
      <c r="A22" s="4">
        <f>Data!A23</f>
        <v>43159</v>
      </c>
      <c r="B22" s="5">
        <f>Data!B23/Data!B22-1</f>
        <v>-1.7830728051311806E-2</v>
      </c>
      <c r="C22" s="5">
        <f>Data!C23/Data!C22-1</f>
        <v>-4.5564411150971429E-2</v>
      </c>
      <c r="D22" s="5">
        <f>Data!D23/Data!D22-1</f>
        <v>8.3288688571880876E-4</v>
      </c>
      <c r="E22" s="5">
        <f>Data!E23/Data!E22-1</f>
        <v>-2.9751613039261326E-2</v>
      </c>
      <c r="F22" s="5">
        <f>Data!F23/Data!F22-1</f>
        <v>-2.8802768211443341E-3</v>
      </c>
      <c r="G22" s="5">
        <f>Data!G23/Data!G22-1</f>
        <v>-2.2356726682448924E-2</v>
      </c>
      <c r="H22" s="5">
        <f>Data!H23/Data!H22-1</f>
        <v>2.6799318000434447E-3</v>
      </c>
      <c r="I22" s="5">
        <f>Data!I23/Data!I22-1</f>
        <v>-8.6626717420458244E-3</v>
      </c>
      <c r="J22" s="5">
        <f>Data!J23/Data!J22-1</f>
        <v>-6.5943615426936608E-3</v>
      </c>
      <c r="K22" s="5">
        <f>Data!K23/Data!K22-1</f>
        <v>-4.7554710957674606E-3</v>
      </c>
    </row>
    <row r="23" spans="1:11" ht="15" customHeight="1" x14ac:dyDescent="0.35">
      <c r="A23" s="4">
        <f>Data!A24</f>
        <v>43189</v>
      </c>
      <c r="B23" s="5">
        <f>Data!B24/Data!B23-1</f>
        <v>-1.4646074136760667E-2</v>
      </c>
      <c r="C23" s="5">
        <f>Data!C24/Data!C23-1</f>
        <v>-1.8836266962900194E-2</v>
      </c>
      <c r="D23" s="5">
        <f>Data!D24/Data!D23-1</f>
        <v>1.3046370963372134E-3</v>
      </c>
      <c r="E23" s="5">
        <f>Data!E24/Data!E23-1</f>
        <v>2.7659458872106857E-2</v>
      </c>
      <c r="F23" s="5">
        <f>Data!F24/Data!F23-1</f>
        <v>4.7025961222477708E-3</v>
      </c>
      <c r="G23" s="5">
        <f>Data!G24/Data!G23-1</f>
        <v>5.5729343021251321E-3</v>
      </c>
      <c r="H23" s="5">
        <f>Data!H24/Data!H23-1</f>
        <v>5.4224196021146476E-3</v>
      </c>
      <c r="I23" s="5">
        <f>Data!I24/Data!I23-1</f>
        <v>-2.2883840671259481E-3</v>
      </c>
      <c r="J23" s="5">
        <f>Data!J24/Data!J23-1</f>
        <v>4.5054335457441752E-3</v>
      </c>
      <c r="K23" s="5">
        <f>Data!K24/Data!K23-1</f>
        <v>1.014903148977675E-3</v>
      </c>
    </row>
    <row r="24" spans="1:11" ht="15" customHeight="1" x14ac:dyDescent="0.35">
      <c r="A24" s="4">
        <f>Data!A25</f>
        <v>43220</v>
      </c>
      <c r="B24" s="5">
        <f>Data!B25/Data!B24-1</f>
        <v>-5.2380404384135826E-3</v>
      </c>
      <c r="C24" s="5">
        <f>Data!C25/Data!C24-1</f>
        <v>2.8052242566773078E-2</v>
      </c>
      <c r="D24" s="5">
        <f>Data!D25/Data!D24-1</f>
        <v>1.0378046589745171E-3</v>
      </c>
      <c r="E24" s="5">
        <f>Data!E25/Data!E24-1</f>
        <v>-2.0343535059291207E-2</v>
      </c>
      <c r="F24" s="5">
        <f>Data!F25/Data!F24-1</f>
        <v>-5.6912776264100851E-3</v>
      </c>
      <c r="G24" s="5">
        <f>Data!G25/Data!G24-1</f>
        <v>-1.5659222692125829E-2</v>
      </c>
      <c r="H24" s="5">
        <f>Data!H25/Data!H24-1</f>
        <v>-7.0507111434970904E-3</v>
      </c>
      <c r="I24" s="5">
        <f>Data!I25/Data!I24-1</f>
        <v>4.8162306375183483E-3</v>
      </c>
      <c r="J24" s="5">
        <f>Data!J25/Data!J24-1</f>
        <v>-5.5136061285104843E-3</v>
      </c>
      <c r="K24" s="5">
        <f>Data!K25/Data!K24-1</f>
        <v>-8.3422602363362186E-3</v>
      </c>
    </row>
    <row r="25" spans="1:11" ht="15" customHeight="1" x14ac:dyDescent="0.35">
      <c r="A25" s="4">
        <f>Data!A26</f>
        <v>43251</v>
      </c>
      <c r="B25" s="5">
        <f>Data!B26/Data!B25-1</f>
        <v>4.82562965021891E-2</v>
      </c>
      <c r="C25" s="5">
        <f>Data!C26/Data!C25-1</f>
        <v>-7.3537641779118923E-3</v>
      </c>
      <c r="D25" s="5">
        <f>Data!D26/Data!D25-1</f>
        <v>1.501581038350297E-3</v>
      </c>
      <c r="E25" s="5">
        <f>Data!E26/Data!E25-1</f>
        <v>1.9430338418698012E-2</v>
      </c>
      <c r="F25" s="5">
        <f>Data!F26/Data!F25-1</f>
        <v>8.1351092631032351E-3</v>
      </c>
      <c r="G25" s="5">
        <f>Data!G26/Data!G25-1</f>
        <v>5.2253654617464562E-3</v>
      </c>
      <c r="H25" s="5">
        <f>Data!H26/Data!H25-1</f>
        <v>8.1290869103354257E-3</v>
      </c>
      <c r="I25" s="5">
        <f>Data!I26/Data!I25-1</f>
        <v>4.9734583765137508E-4</v>
      </c>
      <c r="J25" s="5">
        <f>Data!J26/Data!J25-1</f>
        <v>7.2741705541148338E-3</v>
      </c>
      <c r="K25" s="5">
        <f>Data!K26/Data!K25-1</f>
        <v>1.1684875893669844E-2</v>
      </c>
    </row>
    <row r="26" spans="1:11" ht="15" customHeight="1" x14ac:dyDescent="0.35">
      <c r="A26" s="4">
        <f>Data!A27</f>
        <v>43280</v>
      </c>
      <c r="B26" s="5">
        <f>Data!B27/Data!B26-1</f>
        <v>4.1262693222134939E-3</v>
      </c>
      <c r="C26" s="5">
        <f>Data!C27/Data!C26-1</f>
        <v>3.1563837965165042E-3</v>
      </c>
      <c r="D26" s="5">
        <f>Data!D27/Data!D26-1</f>
        <v>1.4917736562702899E-3</v>
      </c>
      <c r="E26" s="5">
        <f>Data!E27/Data!E26-1</f>
        <v>5.981890224373787E-3</v>
      </c>
      <c r="F26" s="5">
        <f>Data!F27/Data!F26-1</f>
        <v>-1.0115380599351464E-4</v>
      </c>
      <c r="G26" s="5">
        <f>Data!G27/Data!G26-1</f>
        <v>-4.8696078400763954E-3</v>
      </c>
      <c r="H26" s="5">
        <f>Data!H27/Data!H26-1</f>
        <v>1.7627895481812539E-2</v>
      </c>
      <c r="I26" s="5">
        <f>Data!I27/Data!I26-1</f>
        <v>9.8231438021101347E-4</v>
      </c>
      <c r="J26" s="5">
        <f>Data!J27/Data!J26-1</f>
        <v>1.1423512822958948E-3</v>
      </c>
      <c r="K26" s="5">
        <f>Data!K27/Data!K26-1</f>
        <v>-1.7980470442872099E-3</v>
      </c>
    </row>
    <row r="27" spans="1:11" ht="15" customHeight="1" x14ac:dyDescent="0.35">
      <c r="A27" s="4">
        <f>Data!A28</f>
        <v>43312</v>
      </c>
      <c r="B27" s="5">
        <f>Data!B28/Data!B27-1</f>
        <v>1.3820894135211148E-2</v>
      </c>
      <c r="C27" s="5">
        <f>Data!C28/Data!C27-1</f>
        <v>3.498920688888485E-2</v>
      </c>
      <c r="D27" s="5">
        <f>Data!D28/Data!D27-1</f>
        <v>1.3882362070971599E-3</v>
      </c>
      <c r="E27" s="5">
        <f>Data!E28/Data!E27-1</f>
        <v>-1.4055416544977772E-2</v>
      </c>
      <c r="F27" s="5">
        <f>Data!F28/Data!F27-1</f>
        <v>-3.1230317883518266E-3</v>
      </c>
      <c r="G27" s="5">
        <f>Data!G28/Data!G27-1</f>
        <v>1.344185327846148E-2</v>
      </c>
      <c r="H27" s="5">
        <f>Data!H28/Data!H27-1</f>
        <v>1.9296324425526201E-3</v>
      </c>
      <c r="I27" s="5">
        <f>Data!I28/Data!I27-1</f>
        <v>1.6772979625108375E-2</v>
      </c>
      <c r="J27" s="5">
        <f>Data!J28/Data!J27-1</f>
        <v>-1.7084830241561599E-3</v>
      </c>
      <c r="K27" s="5">
        <f>Data!K28/Data!K27-1</f>
        <v>-2.043304759089537E-3</v>
      </c>
    </row>
    <row r="28" spans="1:11" ht="15" customHeight="1" x14ac:dyDescent="0.35">
      <c r="A28" s="4">
        <f>Data!A29</f>
        <v>43343</v>
      </c>
      <c r="B28" s="5">
        <f>Data!B29/Data!B28-1</f>
        <v>4.0361951575843991E-2</v>
      </c>
      <c r="C28" s="5">
        <f>Data!C29/Data!C28-1</f>
        <v>2.0468830634517099E-2</v>
      </c>
      <c r="D28" s="5">
        <f>Data!D29/Data!D28-1</f>
        <v>1.5843562046058413E-3</v>
      </c>
      <c r="E28" s="5">
        <f>Data!E29/Data!E28-1</f>
        <v>1.3166989125358519E-2</v>
      </c>
      <c r="F28" s="5">
        <f>Data!F29/Data!F28-1</f>
        <v>7.0283753879192279E-3</v>
      </c>
      <c r="G28" s="5">
        <f>Data!G29/Data!G28-1</f>
        <v>2.0586466642580348E-4</v>
      </c>
      <c r="H28" s="5">
        <f>Data!H29/Data!H28-1</f>
        <v>1.4071968444943739E-2</v>
      </c>
      <c r="I28" s="5">
        <f>Data!I29/Data!I28-1</f>
        <v>7.073312402036569E-3</v>
      </c>
      <c r="J28" s="5">
        <f>Data!J29/Data!J28-1</f>
        <v>6.1879382938794247E-3</v>
      </c>
      <c r="K28" s="5">
        <f>Data!K29/Data!K28-1</f>
        <v>8.4731956739865222E-3</v>
      </c>
    </row>
    <row r="29" spans="1:11" ht="15" customHeight="1" x14ac:dyDescent="0.35">
      <c r="A29" s="4">
        <f>Data!A30</f>
        <v>43371</v>
      </c>
      <c r="B29" s="5">
        <f>Data!B30/Data!B29-1</f>
        <v>-4.1443080802816556E-3</v>
      </c>
      <c r="C29" s="5">
        <f>Data!C30/Data!C29-1</f>
        <v>-4.2227918900024086E-3</v>
      </c>
      <c r="D29" s="5">
        <f>Data!D30/Data!D29-1</f>
        <v>1.4034620162568512E-3</v>
      </c>
      <c r="E29" s="5">
        <f>Data!E30/Data!E29-1</f>
        <v>-2.7282377080485198E-2</v>
      </c>
      <c r="F29" s="5">
        <f>Data!F30/Data!F29-1</f>
        <v>-7.1483601681278097E-3</v>
      </c>
      <c r="G29" s="5">
        <f>Data!G30/Data!G29-1</f>
        <v>-1.4043889669964615E-3</v>
      </c>
      <c r="H29" s="5">
        <f>Data!H30/Data!H29-1</f>
        <v>-1.7153560656763545E-2</v>
      </c>
      <c r="I29" s="5">
        <f>Data!I30/Data!I29-1</f>
        <v>5.2575798708696109E-3</v>
      </c>
      <c r="J29" s="5">
        <f>Data!J30/Data!J29-1</f>
        <v>-6.1577901888277831E-3</v>
      </c>
      <c r="K29" s="5">
        <f>Data!K30/Data!K29-1</f>
        <v>-5.5842026907705344E-3</v>
      </c>
    </row>
    <row r="30" spans="1:11" ht="15" customHeight="1" x14ac:dyDescent="0.35">
      <c r="A30" s="4">
        <f>Data!A31</f>
        <v>43404</v>
      </c>
      <c r="B30" s="5">
        <f>Data!B31/Data!B30-1</f>
        <v>-0.10271512310154529</v>
      </c>
      <c r="C30" s="5">
        <f>Data!C31/Data!C30-1</f>
        <v>-5.6422522202043246E-2</v>
      </c>
      <c r="D30" s="5">
        <f>Data!D31/Data!D30-1</f>
        <v>1.7051881072520647E-3</v>
      </c>
      <c r="E30" s="5">
        <f>Data!E31/Data!E30-1</f>
        <v>-2.8475417071711195E-2</v>
      </c>
      <c r="F30" s="5">
        <f>Data!F31/Data!F30-1</f>
        <v>-7.0721357850067612E-4</v>
      </c>
      <c r="G30" s="5">
        <f>Data!G31/Data!G30-1</f>
        <v>-2.0488748312750493E-2</v>
      </c>
      <c r="H30" s="5">
        <f>Data!H31/Data!H30-1</f>
        <v>-2.2438547696008504E-2</v>
      </c>
      <c r="I30" s="5">
        <f>Data!I31/Data!I30-1</f>
        <v>-1.9778591260707468E-2</v>
      </c>
      <c r="J30" s="5">
        <f>Data!J31/Data!J30-1</f>
        <v>-5.9678719687701332E-3</v>
      </c>
      <c r="K30" s="5">
        <f>Data!K31/Data!K30-1</f>
        <v>-5.24820521719227E-3</v>
      </c>
    </row>
    <row r="31" spans="1:11" ht="15" customHeight="1" x14ac:dyDescent="0.35">
      <c r="A31" s="4">
        <f>Data!A32</f>
        <v>43434</v>
      </c>
      <c r="B31" s="5">
        <f>Data!B32/Data!B31-1</f>
        <v>1.9937044208364618E-2</v>
      </c>
      <c r="C31" s="5">
        <f>Data!C32/Data!C31-1</f>
        <v>6.9547215548415586E-3</v>
      </c>
      <c r="D31" s="5">
        <f>Data!D32/Data!D31-1</f>
        <v>1.8629794172377867E-3</v>
      </c>
      <c r="E31" s="5">
        <f>Data!E32/Data!E31-1</f>
        <v>1.7812896302799697E-2</v>
      </c>
      <c r="F31" s="5">
        <f>Data!F32/Data!F31-1</f>
        <v>9.6393279337370075E-3</v>
      </c>
      <c r="G31" s="5">
        <f>Data!G32/Data!G31-1</f>
        <v>-3.5922222573807616E-3</v>
      </c>
      <c r="H31" s="5">
        <f>Data!H32/Data!H31-1</f>
        <v>-2.2336159655142018E-2</v>
      </c>
      <c r="I31" s="5">
        <f>Data!I32/Data!I31-1</f>
        <v>-4.0129850902848041E-3</v>
      </c>
      <c r="J31" s="5">
        <f>Data!J32/Data!J31-1</f>
        <v>9.3323716976754234E-3</v>
      </c>
      <c r="K31" s="5">
        <f>Data!K32/Data!K31-1</f>
        <v>6.7679163279925625E-3</v>
      </c>
    </row>
    <row r="32" spans="1:11" ht="15" customHeight="1" x14ac:dyDescent="0.35">
      <c r="A32" s="4">
        <f>Data!A33</f>
        <v>43465</v>
      </c>
      <c r="B32" s="5">
        <f>Data!B33/Data!B32-1</f>
        <v>-9.2339141617991394E-2</v>
      </c>
      <c r="C32" s="5">
        <f>Data!C33/Data!C32-1</f>
        <v>-0.12229976600024628</v>
      </c>
      <c r="D32" s="5">
        <f>Data!D33/Data!D32-1</f>
        <v>1.8295747388230588E-3</v>
      </c>
      <c r="E32" s="5">
        <f>Data!E33/Data!E32-1</f>
        <v>5.8596402830416006E-2</v>
      </c>
      <c r="F32" s="5">
        <f>Data!F33/Data!F32-1</f>
        <v>2.2553950997890704E-2</v>
      </c>
      <c r="G32" s="5">
        <f>Data!G33/Data!G32-1</f>
        <v>1.8564933203872203E-2</v>
      </c>
      <c r="H32" s="5">
        <f>Data!H33/Data!H32-1</f>
        <v>-1.5263361224399974E-2</v>
      </c>
      <c r="I32" s="5">
        <f>Data!I33/Data!I32-1</f>
        <v>-2.0904743435520734E-2</v>
      </c>
      <c r="J32" s="5">
        <f>Data!J33/Data!J32-1</f>
        <v>1.7647209125904117E-2</v>
      </c>
      <c r="K32" s="5">
        <f>Data!K33/Data!K32-1</f>
        <v>1.7697271770445999E-2</v>
      </c>
    </row>
    <row r="33" spans="1:11" ht="15" customHeight="1" x14ac:dyDescent="0.35">
      <c r="A33" s="4">
        <f>Data!A34</f>
        <v>43496</v>
      </c>
      <c r="B33" s="5">
        <f>Data!B34/Data!B33-1</f>
        <v>9.2287337470199349E-2</v>
      </c>
      <c r="C33" s="5">
        <f>Data!C34/Data!C33-1</f>
        <v>0.11299491578538712</v>
      </c>
      <c r="D33" s="5">
        <f>Data!D34/Data!D33-1</f>
        <v>1.7493844066769348E-3</v>
      </c>
      <c r="E33" s="5">
        <f>Data!E34/Data!E33-1</f>
        <v>2.8532700078121032E-3</v>
      </c>
      <c r="F33" s="5">
        <f>Data!F34/Data!F33-1</f>
        <v>2.8530625198350812E-3</v>
      </c>
      <c r="G33" s="5">
        <f>Data!G34/Data!G33-1</f>
        <v>3.3681407803654473E-2</v>
      </c>
      <c r="H33" s="5">
        <f>Data!H34/Data!H33-1</f>
        <v>5.6382861264004047E-2</v>
      </c>
      <c r="I33" s="5">
        <f>Data!I34/Data!I33-1</f>
        <v>4.9445511305939105E-2</v>
      </c>
      <c r="J33" s="5">
        <f>Data!J34/Data!J33-1</f>
        <v>8.0268676255155214E-3</v>
      </c>
      <c r="K33" s="5">
        <f>Data!K34/Data!K33-1</f>
        <v>5.7687361668061765E-3</v>
      </c>
    </row>
    <row r="34" spans="1:11" ht="15" customHeight="1" x14ac:dyDescent="0.35">
      <c r="A34" s="4">
        <f>Data!A35</f>
        <v>43524</v>
      </c>
      <c r="B34" s="5">
        <f>Data!B35/Data!B34-1</f>
        <v>4.4413296048135376E-2</v>
      </c>
      <c r="C34" s="5">
        <f>Data!C35/Data!C34-1</f>
        <v>2.0264988829924002E-2</v>
      </c>
      <c r="D34" s="5">
        <f>Data!D35/Data!D34-1</f>
        <v>1.8507469047670533E-3</v>
      </c>
      <c r="E34" s="5">
        <f>Data!E35/Data!E34-1</f>
        <v>-1.3276516275146477E-2</v>
      </c>
      <c r="F34" s="5">
        <f>Data!F35/Data!F34-1</f>
        <v>-2.2626653881816505E-3</v>
      </c>
      <c r="G34" s="5">
        <f>Data!G35/Data!G34-1</f>
        <v>-2.0344223047485954E-3</v>
      </c>
      <c r="H34" s="5">
        <f>Data!H35/Data!H34-1</f>
        <v>5.8352606297811249E-3</v>
      </c>
      <c r="I34" s="5">
        <f>Data!I35/Data!I34-1</f>
        <v>1.214325883871159E-2</v>
      </c>
      <c r="J34" s="5">
        <f>Data!J35/Data!J34-1</f>
        <v>-6.5878359517190788E-4</v>
      </c>
      <c r="K34" s="5">
        <f>Data!K35/Data!K34-1</f>
        <v>4.5561040088313298E-3</v>
      </c>
    </row>
    <row r="35" spans="1:11" ht="15" customHeight="1" x14ac:dyDescent="0.35">
      <c r="A35" s="4">
        <f>Data!A36</f>
        <v>43553</v>
      </c>
      <c r="B35" s="5">
        <f>Data!B36/Data!B35-1</f>
        <v>2.199634505849235E-2</v>
      </c>
      <c r="C35" s="5">
        <f>Data!C36/Data!C35-1</f>
        <v>-1.5542504841844051E-2</v>
      </c>
      <c r="D35" s="5">
        <f>Data!D36/Data!D35-1</f>
        <v>1.7494844604302173E-3</v>
      </c>
      <c r="E35" s="5">
        <f>Data!E36/Data!E35-1</f>
        <v>5.437743444958576E-2</v>
      </c>
      <c r="F35" s="5">
        <f>Data!F36/Data!F35-1</f>
        <v>1.7536570203372071E-2</v>
      </c>
      <c r="G35" s="5">
        <f>Data!G36/Data!G35-1</f>
        <v>2.9298582446087185E-2</v>
      </c>
      <c r="H35" s="5">
        <f>Data!H36/Data!H35-1</f>
        <v>1.4629541193533546E-2</v>
      </c>
      <c r="I35" s="5">
        <f>Data!I36/Data!I35-1</f>
        <v>1.2893009132350919E-2</v>
      </c>
      <c r="J35" s="5">
        <f>Data!J36/Data!J35-1</f>
        <v>1.4457241082939554E-2</v>
      </c>
      <c r="K35" s="5">
        <f>Data!K36/Data!K35-1</f>
        <v>2.1788038986858105E-2</v>
      </c>
    </row>
    <row r="36" spans="1:11" ht="15" customHeight="1" x14ac:dyDescent="0.35">
      <c r="A36" s="4">
        <f>Data!A37</f>
        <v>43585</v>
      </c>
      <c r="B36" s="5">
        <f>Data!B37/Data!B36-1</f>
        <v>2.9420892647894936E-2</v>
      </c>
      <c r="C36" s="5">
        <f>Data!C37/Data!C36-1</f>
        <v>5.1881542722776786E-2</v>
      </c>
      <c r="D36" s="5">
        <f>Data!D37/Data!D36-1</f>
        <v>1.9194795322754477E-3</v>
      </c>
      <c r="E36" s="5">
        <f>Data!E37/Data!E36-1</f>
        <v>-1.8557958599760505E-2</v>
      </c>
      <c r="F36" s="5">
        <f>Data!F37/Data!F36-1</f>
        <v>-1.4400912681219458E-3</v>
      </c>
      <c r="G36" s="5">
        <f>Data!G37/Data!G36-1</f>
        <v>4.3751050649181167E-3</v>
      </c>
      <c r="H36" s="5">
        <f>Data!H37/Data!H36-1</f>
        <v>6.8552103738988013E-3</v>
      </c>
      <c r="I36" s="5">
        <f>Data!I37/Data!I36-1</f>
        <v>9.8590298901490847E-3</v>
      </c>
      <c r="J36" s="5">
        <f>Data!J37/Data!J36-1</f>
        <v>-9.2686650495921175E-4</v>
      </c>
      <c r="K36" s="5">
        <f>Data!K37/Data!K36-1</f>
        <v>3.3334327514955575E-5</v>
      </c>
    </row>
    <row r="37" spans="1:11" ht="15" customHeight="1" x14ac:dyDescent="0.35">
      <c r="A37" s="4">
        <f>Data!A38</f>
        <v>43616</v>
      </c>
      <c r="B37" s="5">
        <f>Data!B38/Data!B37-1</f>
        <v>-5.6180978289198436E-2</v>
      </c>
      <c r="C37" s="5">
        <f>Data!C38/Data!C37-1</f>
        <v>-9.3357358217385333E-2</v>
      </c>
      <c r="D37" s="5">
        <f>Data!D38/Data!D37-1</f>
        <v>2.120309834380496E-3</v>
      </c>
      <c r="E37" s="5">
        <f>Data!E38/Data!E37-1</f>
        <v>6.6712812558419099E-2</v>
      </c>
      <c r="F37" s="5">
        <f>Data!F38/Data!F37-1</f>
        <v>2.0621131196718601E-2</v>
      </c>
      <c r="G37" s="5">
        <f>Data!G38/Data!G37-1</f>
        <v>1.6503278363821927E-2</v>
      </c>
      <c r="H37" s="5">
        <f>Data!H38/Data!H37-1</f>
        <v>2.523443569871997E-3</v>
      </c>
      <c r="I37" s="5">
        <f>Data!I38/Data!I37-1</f>
        <v>-1.9318271201654635E-2</v>
      </c>
      <c r="J37" s="5">
        <f>Data!J38/Data!J37-1</f>
        <v>1.2124043971177612E-2</v>
      </c>
      <c r="K37" s="5">
        <f>Data!K38/Data!K37-1</f>
        <v>2.08122076764643E-2</v>
      </c>
    </row>
    <row r="38" spans="1:11" ht="15" customHeight="1" x14ac:dyDescent="0.35">
      <c r="A38" s="4">
        <f>Data!A39</f>
        <v>43644</v>
      </c>
      <c r="B38" s="5">
        <f>Data!B39/Data!B38-1</f>
        <v>6.462030115590367E-2</v>
      </c>
      <c r="C38" s="5">
        <f>Data!C39/Data!C38-1</f>
        <v>8.8635639747051131E-2</v>
      </c>
      <c r="D38" s="5">
        <f>Data!D39/Data!D38-1</f>
        <v>1.8165842084061357E-3</v>
      </c>
      <c r="E38" s="5">
        <f>Data!E39/Data!E38-1</f>
        <v>8.5469883056170648E-3</v>
      </c>
      <c r="F38" s="5">
        <f>Data!F39/Data!F38-1</f>
        <v>9.5394807268232018E-3</v>
      </c>
      <c r="G38" s="5">
        <f>Data!G39/Data!G38-1</f>
        <v>3.245558469161125E-2</v>
      </c>
      <c r="H38" s="5">
        <f>Data!H39/Data!H38-1</f>
        <v>1.3105715698147558E-2</v>
      </c>
      <c r="I38" s="5">
        <f>Data!I39/Data!I38-1</f>
        <v>3.1537358965576079E-2</v>
      </c>
      <c r="J38" s="5">
        <f>Data!J39/Data!J38-1</f>
        <v>7.9738656281733711E-3</v>
      </c>
      <c r="K38" s="5">
        <f>Data!K39/Data!K38-1</f>
        <v>1.0407912488291871E-2</v>
      </c>
    </row>
    <row r="39" spans="1:11" ht="15" customHeight="1" x14ac:dyDescent="0.35">
      <c r="A39" s="4">
        <f>Data!A40</f>
        <v>43677</v>
      </c>
      <c r="B39" s="5">
        <f>Data!B40/Data!B39-1</f>
        <v>7.5857577590854319E-3</v>
      </c>
      <c r="C39" s="5">
        <f>Data!C40/Data!C39-1</f>
        <v>5.0858673338207705E-3</v>
      </c>
      <c r="D39" s="5">
        <f>Data!D40/Data!D39-1</f>
        <v>1.8059019535616727E-3</v>
      </c>
      <c r="E39" s="5">
        <f>Data!E40/Data!E39-1</f>
        <v>3.9214489166703448E-3</v>
      </c>
      <c r="F39" s="5">
        <f>Data!F40/Data!F39-1</f>
        <v>-6.4530592954337163E-4</v>
      </c>
      <c r="G39" s="5">
        <f>Data!G40/Data!G39-1</f>
        <v>2.5307605095505892E-3</v>
      </c>
      <c r="H39" s="5">
        <f>Data!H40/Data!H39-1</f>
        <v>1.799899425532292E-2</v>
      </c>
      <c r="I39" s="5">
        <f>Data!I40/Data!I39-1</f>
        <v>1.5633275733843988E-3</v>
      </c>
      <c r="J39" s="5">
        <f>Data!J40/Data!J39-1</f>
        <v>3.6731915204883947E-3</v>
      </c>
      <c r="K39" s="5">
        <f>Data!K40/Data!K39-1</f>
        <v>2.4918313855093466E-3</v>
      </c>
    </row>
    <row r="40" spans="1:11" ht="15" customHeight="1" x14ac:dyDescent="0.35">
      <c r="A40" s="4">
        <f>Data!A41</f>
        <v>43707</v>
      </c>
      <c r="B40" s="5">
        <f>Data!B41/Data!B40-1</f>
        <v>-1.4916754214470029E-2</v>
      </c>
      <c r="C40" s="5">
        <f>Data!C41/Data!C40-1</f>
        <v>-5.6834666797112909E-2</v>
      </c>
      <c r="D40" s="5">
        <f>Data!D41/Data!D40-1</f>
        <v>1.6888617303720821E-3</v>
      </c>
      <c r="E40" s="5">
        <f>Data!E41/Data!E40-1</f>
        <v>0.10826532688704726</v>
      </c>
      <c r="F40" s="5">
        <f>Data!F41/Data!F40-1</f>
        <v>2.4573838229810629E-2</v>
      </c>
      <c r="G40" s="5">
        <f>Data!G41/Data!G40-1</f>
        <v>3.8835315643742652E-2</v>
      </c>
      <c r="H40" s="5">
        <f>Data!H41/Data!H40-1</f>
        <v>6.0554556662362202E-3</v>
      </c>
      <c r="I40" s="5">
        <f>Data!I41/Data!I40-1</f>
        <v>6.9011498872033616E-3</v>
      </c>
      <c r="J40" s="5">
        <f>Data!J41/Data!J40-1</f>
        <v>9.6003180229573548E-3</v>
      </c>
      <c r="K40" s="5">
        <f>Data!K41/Data!K40-1</f>
        <v>2.0626550342220495E-2</v>
      </c>
    </row>
    <row r="41" spans="1:11" ht="15" customHeight="1" x14ac:dyDescent="0.35">
      <c r="A41" s="4">
        <f>Data!A42</f>
        <v>43738</v>
      </c>
      <c r="B41" s="5">
        <f>Data!B42/Data!B41-1</f>
        <v>2.6414854471101812E-3</v>
      </c>
      <c r="C41" s="5">
        <f>Data!C42/Data!C41-1</f>
        <v>6.0065639002491178E-2</v>
      </c>
      <c r="D41" s="5">
        <f>Data!D42/Data!D41-1</f>
        <v>1.6218552888576099E-3</v>
      </c>
      <c r="E41" s="5">
        <f>Data!E42/Data!E41-1</f>
        <v>-2.7713055590730673E-2</v>
      </c>
      <c r="F41" s="5">
        <f>Data!F42/Data!F41-1</f>
        <v>-6.7964813340868346E-3</v>
      </c>
      <c r="G41" s="5">
        <f>Data!G42/Data!G41-1</f>
        <v>-7.5554741245572599E-3</v>
      </c>
      <c r="H41" s="5">
        <f>Data!H42/Data!H41-1</f>
        <v>7.5232396534650192E-3</v>
      </c>
      <c r="I41" s="5">
        <f>Data!I42/Data!I41-1</f>
        <v>4.4020296685733928E-3</v>
      </c>
      <c r="J41" s="5">
        <f>Data!J42/Data!J41-1</f>
        <v>6.0046659207313446E-4</v>
      </c>
      <c r="K41" s="5">
        <f>Data!K42/Data!K41-1</f>
        <v>-5.5623621254008437E-3</v>
      </c>
    </row>
    <row r="42" spans="1:11" ht="15" customHeight="1" x14ac:dyDescent="0.35">
      <c r="A42" s="4">
        <f>Data!A43</f>
        <v>43769</v>
      </c>
      <c r="B42" s="5">
        <f>Data!B43/Data!B42-1</f>
        <v>6.5757496777283375E-3</v>
      </c>
      <c r="C42" s="5">
        <f>Data!C43/Data!C42-1</f>
        <v>9.6761645044214362E-3</v>
      </c>
      <c r="D42" s="5">
        <f>Data!D43/Data!D42-1</f>
        <v>1.6076782123373157E-3</v>
      </c>
      <c r="E42" s="5">
        <f>Data!E43/Data!E42-1</f>
        <v>-1.0102259875968467E-2</v>
      </c>
      <c r="F42" s="5">
        <f>Data!F43/Data!F42-1</f>
        <v>2.8420601062941753E-3</v>
      </c>
      <c r="G42" s="5">
        <f>Data!G43/Data!G42-1</f>
        <v>4.4448996174972777E-3</v>
      </c>
      <c r="H42" s="5">
        <f>Data!H43/Data!H42-1</f>
        <v>4.2642382191384609E-3</v>
      </c>
      <c r="I42" s="5">
        <f>Data!I43/Data!I42-1</f>
        <v>-1.0566251753141298E-4</v>
      </c>
      <c r="J42" s="5">
        <f>Data!J43/Data!J42-1</f>
        <v>3.253034963567325E-3</v>
      </c>
      <c r="K42" s="5">
        <f>Data!K43/Data!K42-1</f>
        <v>-2.084597548967948E-3</v>
      </c>
    </row>
    <row r="43" spans="1:11" ht="15" customHeight="1" x14ac:dyDescent="0.35">
      <c r="A43" s="4">
        <f>Data!A44</f>
        <v>43798</v>
      </c>
      <c r="B43" s="5">
        <f>Data!B44/Data!B43-1</f>
        <v>4.2413808789001584E-2</v>
      </c>
      <c r="C43" s="5">
        <f>Data!C44/Data!C43-1</f>
        <v>3.8159764672051066E-2</v>
      </c>
      <c r="D43" s="5">
        <f>Data!D44/Data!D43-1</f>
        <v>1.0788018065999161E-3</v>
      </c>
      <c r="E43" s="5">
        <f>Data!E44/Data!E43-1</f>
        <v>-4.5566677996206062E-3</v>
      </c>
      <c r="F43" s="5">
        <f>Data!F44/Data!F43-1</f>
        <v>-4.9402006975099999E-3</v>
      </c>
      <c r="G43" s="5">
        <f>Data!G44/Data!G43-1</f>
        <v>4.748552761324687E-3</v>
      </c>
      <c r="H43" s="5">
        <f>Data!H44/Data!H43-1</f>
        <v>-4.3900683699172882E-3</v>
      </c>
      <c r="I43" s="5">
        <f>Data!I44/Data!I43-1</f>
        <v>5.663928784969352E-3</v>
      </c>
      <c r="J43" s="5">
        <f>Data!J44/Data!J43-1</f>
        <v>8.2533062254475098E-5</v>
      </c>
      <c r="K43" s="5">
        <f>Data!K44/Data!K43-1</f>
        <v>1.6952843621742542E-3</v>
      </c>
    </row>
    <row r="44" spans="1:11" ht="15" customHeight="1" x14ac:dyDescent="0.35">
      <c r="A44" s="4">
        <f>Data!A45</f>
        <v>43830</v>
      </c>
      <c r="B44" s="5">
        <f>Data!B45/Data!B44-1</f>
        <v>2.4285825536805694E-2</v>
      </c>
      <c r="C44" s="5">
        <f>Data!C45/Data!C44-1</f>
        <v>2.6178459165215218E-2</v>
      </c>
      <c r="D44" s="5">
        <f>Data!D45/Data!D44-1</f>
        <v>1.1195299859141361E-3</v>
      </c>
      <c r="E44" s="5">
        <f>Data!E45/Data!E44-1</f>
        <v>-3.1395044023993401E-2</v>
      </c>
      <c r="F44" s="5">
        <f>Data!F45/Data!F44-1</f>
        <v>-2.7167179658649232E-3</v>
      </c>
      <c r="G44" s="5">
        <f>Data!G45/Data!G44-1</f>
        <v>5.2842442729541528E-3</v>
      </c>
      <c r="H44" s="5">
        <f>Data!H45/Data!H44-1</f>
        <v>1.9199074743385891E-2</v>
      </c>
      <c r="I44" s="5">
        <f>Data!I45/Data!I44-1</f>
        <v>1.9117106873842049E-2</v>
      </c>
      <c r="J44" s="5">
        <f>Data!J45/Data!J44-1</f>
        <v>2.1048279491082678E-3</v>
      </c>
      <c r="K44" s="5">
        <f>Data!K45/Data!K44-1</f>
        <v>-3.4517243570661993E-3</v>
      </c>
    </row>
    <row r="45" spans="1:11" ht="15" customHeight="1" x14ac:dyDescent="0.35">
      <c r="A45" s="4">
        <f>Data!A46</f>
        <v>43861</v>
      </c>
      <c r="B45" s="5">
        <f>Data!B46/Data!B45-1</f>
        <v>8.2308302861520133E-3</v>
      </c>
      <c r="C45" s="5">
        <f>Data!C46/Data!C45-1</f>
        <v>-6.080212484191938E-2</v>
      </c>
      <c r="D45" s="5">
        <f>Data!D46/Data!D45-1</f>
        <v>1.2030119234172076E-3</v>
      </c>
      <c r="E45" s="5">
        <f>Data!E46/Data!E45-1</f>
        <v>7.5894065339261463E-2</v>
      </c>
      <c r="F45" s="5">
        <f>Data!F46/Data!F45-1</f>
        <v>2.1661233397095803E-2</v>
      </c>
      <c r="G45" s="5">
        <f>Data!G46/Data!G45-1</f>
        <v>2.446067245597594E-2</v>
      </c>
      <c r="H45" s="5">
        <f>Data!H46/Data!H45-1</f>
        <v>1.5163550739027976E-2</v>
      </c>
      <c r="I45" s="5">
        <f>Data!I46/Data!I45-1</f>
        <v>-4.6618649751175578E-3</v>
      </c>
      <c r="J45" s="5">
        <f>Data!J46/Data!J45-1</f>
        <v>7.4036083621635829E-3</v>
      </c>
      <c r="K45" s="5">
        <f>Data!K46/Data!K45-1</f>
        <v>2.7278158342535219E-2</v>
      </c>
    </row>
    <row r="46" spans="1:11" ht="15" customHeight="1" x14ac:dyDescent="0.35">
      <c r="A46" s="4">
        <f>Data!A47</f>
        <v>43889</v>
      </c>
      <c r="B46" s="5">
        <f>Data!B47/Data!B46-1</f>
        <v>-6.8879303900122535E-2</v>
      </c>
      <c r="C46" s="5">
        <f>Data!C47/Data!C46-1</f>
        <v>-0.13033336588471878</v>
      </c>
      <c r="D46" s="5">
        <f>Data!D47/Data!D46-1</f>
        <v>1.1838041384037989E-3</v>
      </c>
      <c r="E46" s="5">
        <f>Data!E47/Data!E46-1</f>
        <v>6.3850205886580635E-2</v>
      </c>
      <c r="F46" s="5">
        <f>Data!F47/Data!F46-1</f>
        <v>2.1568231030006935E-2</v>
      </c>
      <c r="G46" s="5">
        <f>Data!G47/Data!G46-1</f>
        <v>1.0914069529546211E-2</v>
      </c>
      <c r="H46" s="5">
        <f>Data!H47/Data!H46-1</f>
        <v>-4.4643480933949986E-2</v>
      </c>
      <c r="I46" s="5">
        <f>Data!I47/Data!I46-1</f>
        <v>-1.2896553983402614E-2</v>
      </c>
      <c r="J46" s="5">
        <f>Data!J47/Data!J46-1</f>
        <v>8.2500410761880971E-3</v>
      </c>
      <c r="K46" s="5">
        <f>Data!K47/Data!K46-1</f>
        <v>6.359521230803411E-3</v>
      </c>
    </row>
    <row r="47" spans="1:11" ht="15" customHeight="1" x14ac:dyDescent="0.35">
      <c r="A47" s="4">
        <f>Data!A48</f>
        <v>43921</v>
      </c>
      <c r="B47" s="5">
        <f>Data!B48/Data!B47-1</f>
        <v>-0.15562485993092379</v>
      </c>
      <c r="C47" s="5">
        <f>Data!C48/Data!C47-1</f>
        <v>-0.28736171541356204</v>
      </c>
      <c r="D47" s="5">
        <f>Data!D48/Data!D47-1</f>
        <v>2.0485965078891333E-3</v>
      </c>
      <c r="E47" s="5">
        <f>Data!E48/Data!E47-1</f>
        <v>6.5396735826037888E-2</v>
      </c>
      <c r="F47" s="5">
        <f>Data!F48/Data!F47-1</f>
        <v>2.8865624551842828E-2</v>
      </c>
      <c r="G47" s="5">
        <f>Data!G48/Data!G47-1</f>
        <v>-6.3114005612299851E-2</v>
      </c>
      <c r="H47" s="5">
        <f>Data!H48/Data!H47-1</f>
        <v>-0.11903160023735693</v>
      </c>
      <c r="I47" s="5">
        <f>Data!I48/Data!I47-1</f>
        <v>-0.10031097433542346</v>
      </c>
      <c r="J47" s="5">
        <f>Data!J48/Data!J47-1</f>
        <v>1.0752170262229521E-2</v>
      </c>
      <c r="K47" s="5">
        <f>Data!K48/Data!K47-1</f>
        <v>-1.1838401677796706E-2</v>
      </c>
    </row>
    <row r="48" spans="1:11" ht="15" customHeight="1" x14ac:dyDescent="0.35">
      <c r="A48" s="4">
        <f>Data!A49</f>
        <v>43951</v>
      </c>
      <c r="B48" s="5">
        <f>Data!B49/Data!B48-1</f>
        <v>0.1656475856668842</v>
      </c>
      <c r="C48" s="5">
        <f>Data!C49/Data!C48-1</f>
        <v>0.14594665225066428</v>
      </c>
      <c r="D48" s="5">
        <f>Data!D49/Data!D48-1</f>
        <v>-1.9371367868525891E-4</v>
      </c>
      <c r="E48" s="5">
        <f>Data!E49/Data!E48-1</f>
        <v>1.132237339027764E-2</v>
      </c>
      <c r="F48" s="5">
        <f>Data!F49/Data!F48-1</f>
        <v>7.7777839727466436E-4</v>
      </c>
      <c r="G48" s="5">
        <f>Data!G49/Data!G48-1</f>
        <v>4.8497272434822492E-2</v>
      </c>
      <c r="H48" s="5">
        <f>Data!H49/Data!H48-1</f>
        <v>9.4515398389602545E-2</v>
      </c>
      <c r="I48" s="5">
        <f>Data!I49/Data!I48-1</f>
        <v>4.8989679457015045E-2</v>
      </c>
      <c r="J48" s="5">
        <f>Data!J49/Data!J48-1</f>
        <v>8.0954907330339498E-3</v>
      </c>
      <c r="K48" s="5">
        <f>Data!K49/Data!K48-1</f>
        <v>2.5100492317902123E-3</v>
      </c>
    </row>
    <row r="49" spans="1:11" ht="15" customHeight="1" x14ac:dyDescent="0.35">
      <c r="A49" s="4">
        <f>Data!A50</f>
        <v>43980</v>
      </c>
      <c r="B49" s="5">
        <f>Data!B50/Data!B49-1</f>
        <v>8.3010524478972059E-2</v>
      </c>
      <c r="C49" s="5">
        <f>Data!C50/Data!C49-1</f>
        <v>3.0170746594346598E-2</v>
      </c>
      <c r="D49" s="5">
        <f>Data!D50/Data!D49-1</f>
        <v>-1.7083440104825875E-4</v>
      </c>
      <c r="E49" s="5">
        <f>Data!E50/Data!E49-1</f>
        <v>-1.6390479948954928E-2</v>
      </c>
      <c r="F49" s="5">
        <f>Data!F50/Data!F49-1</f>
        <v>3.2758298908335259E-3</v>
      </c>
      <c r="G49" s="5">
        <f>Data!G50/Data!G49-1</f>
        <v>2.4613134969465378E-2</v>
      </c>
      <c r="H49" s="5">
        <f>Data!H50/Data!H49-1</f>
        <v>1.9209683500691188E-2</v>
      </c>
      <c r="I49" s="5">
        <f>Data!I50/Data!I49-1</f>
        <v>2.9546078786375496E-2</v>
      </c>
      <c r="J49" s="5">
        <f>Data!J50/Data!J49-1</f>
        <v>1.7868271134469094E-3</v>
      </c>
      <c r="K49" s="5">
        <f>Data!K50/Data!K49-1</f>
        <v>1.0180556170026556E-2</v>
      </c>
    </row>
    <row r="50" spans="1:11" ht="15" customHeight="1" x14ac:dyDescent="0.35">
      <c r="A50" s="4">
        <f>Data!A51</f>
        <v>44012</v>
      </c>
      <c r="B50" s="5">
        <f>Data!B51/Data!B50-1</f>
        <v>2.6785679198001455E-2</v>
      </c>
      <c r="C50" s="5">
        <f>Data!C51/Data!C50-1</f>
        <v>2.1145246334632217E-2</v>
      </c>
      <c r="D50" s="5">
        <f>Data!D51/Data!D50-1</f>
        <v>0</v>
      </c>
      <c r="E50" s="5">
        <f>Data!E51/Data!E50-1</f>
        <v>2.756019183393299E-3</v>
      </c>
      <c r="F50" s="5">
        <f>Data!F51/Data!F50-1</f>
        <v>1.3465900729934255E-3</v>
      </c>
      <c r="G50" s="5">
        <f>Data!G51/Data!G50-1</f>
        <v>2.1276541521908277E-2</v>
      </c>
      <c r="H50" s="5">
        <f>Data!H51/Data!H50-1</f>
        <v>-9.4652716800857073E-3</v>
      </c>
      <c r="I50" s="5">
        <f>Data!I51/Data!I50-1</f>
        <v>-5.8692391128752908E-3</v>
      </c>
      <c r="J50" s="5">
        <f>Data!J51/Data!J50-1</f>
        <v>-1.6192746373147049E-3</v>
      </c>
      <c r="K50" s="5">
        <f>Data!K51/Data!K50-1</f>
        <v>1.6687915859683988E-2</v>
      </c>
    </row>
    <row r="51" spans="1:11" ht="15" customHeight="1" x14ac:dyDescent="0.35">
      <c r="A51" s="4">
        <f>Data!A52</f>
        <v>44043</v>
      </c>
      <c r="B51" s="5">
        <f>Data!B52/Data!B51-1</f>
        <v>6.5386347486288576E-2</v>
      </c>
      <c r="C51" s="5">
        <f>Data!C52/Data!C51-1</f>
        <v>2.3276943987196708E-2</v>
      </c>
      <c r="D51" s="5">
        <f>Data!D52/Data!D51-1</f>
        <v>1.0939437191992418E-4</v>
      </c>
      <c r="E51" s="5">
        <f>Data!E52/Data!E51-1</f>
        <v>4.2972956802680429E-2</v>
      </c>
      <c r="F51" s="5">
        <f>Data!F52/Data!F51-1</f>
        <v>4.5001580462160629E-3</v>
      </c>
      <c r="G51" s="5">
        <f>Data!G52/Data!G51-1</f>
        <v>3.0993833922658309E-2</v>
      </c>
      <c r="H51" s="5">
        <f>Data!H52/Data!H51-1</f>
        <v>4.952146280631653E-2</v>
      </c>
      <c r="I51" s="5">
        <f>Data!I52/Data!I51-1</f>
        <v>5.059721408427964E-2</v>
      </c>
      <c r="J51" s="5">
        <f>Data!J52/Data!J51-1</f>
        <v>2.8861802066644238E-3</v>
      </c>
      <c r="K51" s="5">
        <f>Data!K52/Data!K51-1</f>
        <v>1.1168157349764396E-2</v>
      </c>
    </row>
    <row r="52" spans="1:11" ht="15" customHeight="1" x14ac:dyDescent="0.35">
      <c r="A52" s="4">
        <f>Data!A53</f>
        <v>44074</v>
      </c>
      <c r="B52" s="5">
        <f>Data!B53/Data!B52-1</f>
        <v>5.5904518476074916E-2</v>
      </c>
      <c r="C52" s="5">
        <f>Data!C53/Data!C52-1</f>
        <v>4.9066330467400832E-2</v>
      </c>
      <c r="D52" s="5">
        <f>Data!D53/Data!D52-1</f>
        <v>0</v>
      </c>
      <c r="E52" s="5">
        <f>Data!E53/Data!E52-1</f>
        <v>-4.8498472658434766E-2</v>
      </c>
      <c r="F52" s="5">
        <f>Data!F53/Data!F52-1</f>
        <v>-3.4752413208677391E-3</v>
      </c>
      <c r="G52" s="5">
        <f>Data!G53/Data!G52-1</f>
        <v>-1.7782392599504204E-2</v>
      </c>
      <c r="H52" s="5">
        <f>Data!H53/Data!H52-1</f>
        <v>1.8976585523476919E-2</v>
      </c>
      <c r="I52" s="5">
        <f>Data!I53/Data!I52-1</f>
        <v>-2.2980256424320888E-4</v>
      </c>
      <c r="J52" s="5">
        <f>Data!J53/Data!J52-1</f>
        <v>5.4038684786394953E-4</v>
      </c>
      <c r="K52" s="5">
        <f>Data!K53/Data!K52-1</f>
        <v>-1.7797917896058557E-3</v>
      </c>
    </row>
    <row r="53" spans="1:11" ht="15" customHeight="1" x14ac:dyDescent="0.35">
      <c r="A53" s="4">
        <f>Data!A54</f>
        <v>44104</v>
      </c>
      <c r="B53" s="5">
        <f>Data!B54/Data!B53-1</f>
        <v>-2.648906358622749E-2</v>
      </c>
      <c r="C53" s="5">
        <f>Data!C54/Data!C53-1</f>
        <v>-3.7280927528886343E-2</v>
      </c>
      <c r="D53" s="5">
        <f>Data!D54/Data!D53-1</f>
        <v>-2.1876481220084454E-4</v>
      </c>
      <c r="E53" s="5">
        <f>Data!E54/Data!E53-1</f>
        <v>7.9901578437688858E-3</v>
      </c>
      <c r="F53" s="5">
        <f>Data!F54/Data!F53-1</f>
        <v>9.0023212139023201E-4</v>
      </c>
      <c r="G53" s="5">
        <f>Data!G54/Data!G53-1</f>
        <v>-4.4102662669764925E-3</v>
      </c>
      <c r="H53" s="5">
        <f>Data!H54/Data!H53-1</f>
        <v>-2.4545910687406858E-3</v>
      </c>
      <c r="I53" s="5">
        <f>Data!I54/Data!I53-1</f>
        <v>-9.341853306292891E-3</v>
      </c>
      <c r="J53" s="5">
        <f>Data!J54/Data!J53-1</f>
        <v>-7.9679711111979579E-4</v>
      </c>
      <c r="K53" s="5">
        <f>Data!K54/Data!K53-1</f>
        <v>7.6281822291488499E-3</v>
      </c>
    </row>
    <row r="54" spans="1:11" ht="15" customHeight="1" x14ac:dyDescent="0.35">
      <c r="A54" s="4">
        <f>Data!A55</f>
        <v>44134</v>
      </c>
      <c r="B54" s="5">
        <f>Data!B55/Data!B54-1</f>
        <v>-1.7724975434562196E-2</v>
      </c>
      <c r="C54" s="5">
        <f>Data!C55/Data!C54-1</f>
        <v>1.7086748900780213E-2</v>
      </c>
      <c r="D54" s="5">
        <f>Data!D55/Data!D54-1</f>
        <v>1.0940634035794261E-4</v>
      </c>
      <c r="E54" s="5">
        <f>Data!E55/Data!E54-1</f>
        <v>-3.3258631936435967E-2</v>
      </c>
      <c r="F54" s="5">
        <f>Data!F55/Data!F54-1</f>
        <v>-6.0607234677301225E-3</v>
      </c>
      <c r="G54" s="5">
        <f>Data!G55/Data!G54-1</f>
        <v>-5.1061228303465045E-3</v>
      </c>
      <c r="H54" s="5">
        <f>Data!H55/Data!H54-1</f>
        <v>-2.0260468747170801E-3</v>
      </c>
      <c r="I54" s="5">
        <f>Data!I55/Data!I54-1</f>
        <v>4.0238126896898763E-3</v>
      </c>
      <c r="J54" s="5">
        <f>Data!J55/Data!J54-1</f>
        <v>7.3693762349402725E-4</v>
      </c>
      <c r="K54" s="5">
        <f>Data!K55/Data!K54-1</f>
        <v>-6.6543264102403299E-3</v>
      </c>
    </row>
    <row r="55" spans="1:11" ht="15" customHeight="1" x14ac:dyDescent="0.35">
      <c r="A55" s="4">
        <f>Data!A56</f>
        <v>44165</v>
      </c>
      <c r="B55" s="5">
        <f>Data!B56/Data!B55-1</f>
        <v>0.12199035585610174</v>
      </c>
      <c r="C55" s="5">
        <f>Data!C56/Data!C55-1</f>
        <v>0.18898824718817142</v>
      </c>
      <c r="D55" s="5">
        <f>Data!D56/Data!D55-1</f>
        <v>-1.0939437192014623E-4</v>
      </c>
      <c r="E55" s="5">
        <f>Data!E56/Data!E55-1</f>
        <v>1.5697230412296426E-2</v>
      </c>
      <c r="F55" s="5">
        <f>Data!F56/Data!F55-1</f>
        <v>1.48126286011796E-3</v>
      </c>
      <c r="G55" s="5">
        <f>Data!G56/Data!G55-1</f>
        <v>3.7703836248100808E-2</v>
      </c>
      <c r="H55" s="5">
        <f>Data!H56/Data!H55-1</f>
        <v>4.6040482238619562E-2</v>
      </c>
      <c r="I55" s="5">
        <f>Data!I56/Data!I55-1</f>
        <v>3.3502268267015634E-2</v>
      </c>
      <c r="J55" s="5">
        <f>Data!J56/Data!J55-1</f>
        <v>4.6319085111701241E-4</v>
      </c>
      <c r="K55" s="5">
        <f>Data!K56/Data!K55-1</f>
        <v>5.5239894005096879E-3</v>
      </c>
    </row>
    <row r="56" spans="1:11" ht="15" customHeight="1" x14ac:dyDescent="0.35">
      <c r="A56" s="4">
        <f>Data!A57</f>
        <v>44196</v>
      </c>
      <c r="B56" s="5">
        <f>Data!B57/Data!B56-1</f>
        <v>4.5509894098633374E-2</v>
      </c>
      <c r="C56" s="5">
        <f>Data!C57/Data!C56-1</f>
        <v>4.0946960098906748E-2</v>
      </c>
      <c r="D56" s="5">
        <f>Data!D57/Data!D56-1</f>
        <v>3.5426814972927545E-5</v>
      </c>
      <c r="E56" s="5">
        <f>Data!E57/Data!E56-1</f>
        <v>-1.1773238106840389E-2</v>
      </c>
      <c r="F56" s="5">
        <f>Data!F57/Data!F56-1</f>
        <v>2.5855957295983778E-4</v>
      </c>
      <c r="G56" s="5">
        <f>Data!G57/Data!G56-1</f>
        <v>1.5109660413228365E-3</v>
      </c>
      <c r="H56" s="5">
        <f>Data!H57/Data!H56-1</f>
        <v>2.6332881699582034E-2</v>
      </c>
      <c r="I56" s="5">
        <f>Data!I57/Data!I56-1</f>
        <v>1.956946320932329E-2</v>
      </c>
      <c r="J56" s="5">
        <f>Data!J57/Data!J56-1</f>
        <v>1.6321880029472879E-3</v>
      </c>
      <c r="K56" s="5">
        <f>Data!K57/Data!K56-1</f>
        <v>9.4371921801186254E-3</v>
      </c>
    </row>
    <row r="57" spans="1:11" ht="15" customHeight="1" x14ac:dyDescent="0.35">
      <c r="A57" s="4">
        <f>Data!A58</f>
        <v>44225</v>
      </c>
      <c r="B57" s="5">
        <f>Data!B58/Data!B57-1</f>
        <v>-5.6125391697405824E-3</v>
      </c>
      <c r="C57" s="5">
        <f>Data!C58/Data!C57-1</f>
        <v>2.4621512251942868E-2</v>
      </c>
      <c r="D57" s="5">
        <f>Data!D58/Data!D57-1</f>
        <v>0</v>
      </c>
      <c r="E57" s="5">
        <f>Data!E58/Data!E57-1</f>
        <v>-3.5231980953811859E-2</v>
      </c>
      <c r="F57" s="5">
        <f>Data!F58/Data!F57-1</f>
        <v>-4.2331660079272249E-3</v>
      </c>
      <c r="G57" s="5">
        <f>Data!G58/Data!G57-1</f>
        <v>-1.8316088067552694E-2</v>
      </c>
      <c r="H57" s="5">
        <f>Data!H58/Data!H57-1</f>
        <v>-1.7139262375122088E-2</v>
      </c>
      <c r="I57" s="5">
        <f>Data!I58/Data!I57-1</f>
        <v>-3.7797249514143205E-3</v>
      </c>
      <c r="J57" s="5">
        <f>Data!J58/Data!J57-1</f>
        <v>1.4532572155592227E-3</v>
      </c>
      <c r="K57" s="5">
        <f>Data!K58/Data!K57-1</f>
        <v>2.1688227835299223E-3</v>
      </c>
    </row>
    <row r="58" spans="1:11" ht="15" customHeight="1" x14ac:dyDescent="0.35">
      <c r="A58" s="4">
        <f>Data!A59</f>
        <v>44253</v>
      </c>
      <c r="B58" s="5">
        <f>Data!B59/Data!B58-1</f>
        <v>1.5961194542753798E-2</v>
      </c>
      <c r="C58" s="5">
        <f>Data!C59/Data!C58-1</f>
        <v>0.10606478543571374</v>
      </c>
      <c r="D58" s="5">
        <f>Data!D59/Data!D58-1</f>
        <v>-1.0940246457702418E-4</v>
      </c>
      <c r="E58" s="5">
        <f>Data!E59/Data!E58-1</f>
        <v>-5.5681337198623115E-2</v>
      </c>
      <c r="F58" s="5">
        <f>Data!F59/Data!F58-1</f>
        <v>-1.3691365089112395E-2</v>
      </c>
      <c r="G58" s="5">
        <f>Data!G59/Data!G58-1</f>
        <v>-2.263494401310906E-2</v>
      </c>
      <c r="H58" s="5">
        <f>Data!H59/Data!H58-1</f>
        <v>-8.7830750506788791E-3</v>
      </c>
      <c r="I58" s="5">
        <f>Data!I59/Data!I58-1</f>
        <v>-2.4554317961483774E-3</v>
      </c>
      <c r="J58" s="5">
        <f>Data!J59/Data!J58-1</f>
        <v>-8.6153619891450317E-3</v>
      </c>
      <c r="K58" s="5">
        <f>Data!K59/Data!K58-1</f>
        <v>-1.8143599440493485E-2</v>
      </c>
    </row>
    <row r="59" spans="1:11" ht="15" customHeight="1" x14ac:dyDescent="0.35">
      <c r="A59" s="4">
        <f>Data!A60</f>
        <v>44286</v>
      </c>
      <c r="B59" s="5">
        <f>Data!B60/Data!B59-1</f>
        <v>-1.9299049708187965E-3</v>
      </c>
      <c r="C59" s="5">
        <f>Data!C60/Data!C59-1</f>
        <v>6.793575604422375E-2</v>
      </c>
      <c r="D59" s="5">
        <f>Data!D60/Data!D59-1</f>
        <v>-1.0941443478595936E-4</v>
      </c>
      <c r="E59" s="5">
        <f>Data!E60/Data!E59-1</f>
        <v>-4.9450398432065557E-2</v>
      </c>
      <c r="F59" s="5">
        <f>Data!F60/Data!F59-1</f>
        <v>-1.1416442620631018E-2</v>
      </c>
      <c r="G59" s="5">
        <f>Data!G60/Data!G59-1</f>
        <v>-1.4780565025878545E-2</v>
      </c>
      <c r="H59" s="5">
        <f>Data!H60/Data!H59-1</f>
        <v>3.1692611353981048E-2</v>
      </c>
      <c r="I59" s="5">
        <f>Data!I60/Data!I59-1</f>
        <v>1.2113855986691124E-2</v>
      </c>
      <c r="J59" s="5">
        <f>Data!J60/Data!J59-1</f>
        <v>-4.9010285768394946E-3</v>
      </c>
      <c r="K59" s="5">
        <f>Data!K60/Data!K59-1</f>
        <v>-6.971280033899796E-3</v>
      </c>
    </row>
    <row r="60" spans="1:11" ht="15" customHeight="1" x14ac:dyDescent="0.35">
      <c r="A60" s="4">
        <f>Data!A61</f>
        <v>44316</v>
      </c>
      <c r="B60" s="5">
        <f>Data!B61/Data!B60-1</f>
        <v>5.2380147862797433E-2</v>
      </c>
      <c r="C60" s="5">
        <f>Data!C61/Data!C60-1</f>
        <v>4.0377200329631879E-2</v>
      </c>
      <c r="D60" s="5">
        <f>Data!D61/Data!D60-1</f>
        <v>0</v>
      </c>
      <c r="E60" s="5">
        <f>Data!E61/Data!E60-1</f>
        <v>2.3040992904646451E-2</v>
      </c>
      <c r="F60" s="5">
        <f>Data!F61/Data!F60-1</f>
        <v>6.2951596834956991E-3</v>
      </c>
      <c r="G60" s="5">
        <f>Data!G61/Data!G60-1</f>
        <v>1.04187439896124E-2</v>
      </c>
      <c r="H60" s="5">
        <f>Data!H61/Data!H60-1</f>
        <v>1.1789148005186378E-2</v>
      </c>
      <c r="I60" s="5">
        <f>Data!I61/Data!I60-1</f>
        <v>6.3634922724828957E-3</v>
      </c>
      <c r="J60" s="5">
        <f>Data!J61/Data!J60-1</f>
        <v>5.799025275281311E-3</v>
      </c>
      <c r="K60" s="5">
        <f>Data!K61/Data!K60-1</f>
        <v>7.6587112665853496E-3</v>
      </c>
    </row>
    <row r="61" spans="1:11" ht="15" customHeight="1" x14ac:dyDescent="0.35">
      <c r="A61" s="4">
        <f>Data!A62</f>
        <v>44347</v>
      </c>
      <c r="B61" s="5">
        <f>Data!B62/Data!B61-1</f>
        <v>-9.3384572657084775E-3</v>
      </c>
      <c r="C61" s="5">
        <f>Data!C62/Data!C61-1</f>
        <v>4.8371757495079271E-2</v>
      </c>
      <c r="D61" s="5">
        <f>Data!D62/Data!D61-1</f>
        <v>-1.0942640761435474E-4</v>
      </c>
      <c r="E61" s="5">
        <f>Data!E62/Data!E61-1</f>
        <v>-7.6965054821298562E-4</v>
      </c>
      <c r="F61" s="5">
        <f>Data!F62/Data!F61-1</f>
        <v>3.5019842680967805E-3</v>
      </c>
      <c r="G61" s="5">
        <f>Data!G62/Data!G61-1</f>
        <v>6.2230030563641403E-3</v>
      </c>
      <c r="H61" s="5">
        <f>Data!H62/Data!H61-1</f>
        <v>7.9365079365079083E-3</v>
      </c>
      <c r="I61" s="5">
        <f>Data!I62/Data!I61-1</f>
        <v>3.8832847922742886E-4</v>
      </c>
      <c r="J61" s="5">
        <f>Data!J62/Data!J61-1</f>
        <v>-3.0345627951090526E-3</v>
      </c>
      <c r="K61" s="5">
        <f>Data!K62/Data!K61-1</f>
        <v>5.9934929596605624E-3</v>
      </c>
    </row>
    <row r="62" spans="1:11" ht="15" customHeight="1" x14ac:dyDescent="0.35">
      <c r="A62" s="4">
        <f>Data!A63</f>
        <v>44377</v>
      </c>
      <c r="B62" s="5">
        <f>Data!B63/Data!B62-1</f>
        <v>7.6867000133681751E-2</v>
      </c>
      <c r="C62" s="5">
        <f>Data!C63/Data!C62-1</f>
        <v>-3.8053466432184324E-2</v>
      </c>
      <c r="D62" s="5">
        <f>Data!D63/Data!D62-1</f>
        <v>-2.1783449581214143E-4</v>
      </c>
      <c r="E62" s="5">
        <f>Data!E63/Data!E62-1</f>
        <v>4.112969027078206E-2</v>
      </c>
      <c r="F62" s="5">
        <f>Data!F63/Data!F62-1</f>
        <v>7.427440708045463E-4</v>
      </c>
      <c r="G62" s="5">
        <f>Data!G63/Data!G62-1</f>
        <v>2.211157784881923E-2</v>
      </c>
      <c r="H62" s="5">
        <f>Data!H63/Data!H62-1</f>
        <v>1.6570607827115946E-2</v>
      </c>
      <c r="I62" s="5">
        <f>Data!I63/Data!I62-1</f>
        <v>1.3235528092489623E-2</v>
      </c>
      <c r="J62" s="5">
        <f>Data!J63/Data!J62-1</f>
        <v>-1.0913076554441847E-4</v>
      </c>
      <c r="K62" s="5">
        <f>Data!K63/Data!K62-1</f>
        <v>1.6367023432173333E-3</v>
      </c>
    </row>
    <row r="63" spans="1:11" ht="15" customHeight="1" x14ac:dyDescent="0.35">
      <c r="A63" s="4">
        <f>Data!A64</f>
        <v>44407</v>
      </c>
      <c r="B63" s="5">
        <f>Data!B64/Data!B63-1</f>
        <v>5.1776445287521566E-2</v>
      </c>
      <c r="C63" s="5">
        <f>Data!C64/Data!C63-1</f>
        <v>-2.2156308015330417E-2</v>
      </c>
      <c r="D63" s="5">
        <f>Data!D64/Data!D63-1</f>
        <v>-1.0946222771279768E-4</v>
      </c>
      <c r="E63" s="5">
        <f>Data!E64/Data!E63-1</f>
        <v>3.6370057973074132E-2</v>
      </c>
      <c r="F63" s="5">
        <f>Data!F64/Data!F63-1</f>
        <v>1.2172528667905524E-2</v>
      </c>
      <c r="G63" s="5">
        <f>Data!G64/Data!G63-1</f>
        <v>1.4191668859841577E-2</v>
      </c>
      <c r="H63" s="5">
        <f>Data!H64/Data!H63-1</f>
        <v>6.098495019742689E-3</v>
      </c>
      <c r="I63" s="5">
        <f>Data!I64/Data!I63-1</f>
        <v>1.0366911383872246E-3</v>
      </c>
      <c r="J63" s="5">
        <f>Data!J64/Data!J63-1</f>
        <v>5.1510597912054479E-3</v>
      </c>
      <c r="K63" s="5">
        <f>Data!K64/Data!K63-1</f>
        <v>7.7671212254268873E-3</v>
      </c>
    </row>
    <row r="64" spans="1:11" ht="15" customHeight="1" x14ac:dyDescent="0.35">
      <c r="A64" s="4">
        <f>Data!A65</f>
        <v>44439</v>
      </c>
      <c r="B64" s="5">
        <f>Data!B65/Data!B64-1</f>
        <v>5.1295659059211518E-2</v>
      </c>
      <c r="C64" s="5">
        <f>Data!C65/Data!C64-1</f>
        <v>2.8159933899216005E-2</v>
      </c>
      <c r="D64" s="5">
        <f>Data!D65/Data!D64-1</f>
        <v>-1.0947421100360177E-4</v>
      </c>
      <c r="E64" s="5">
        <f>Data!E65/Data!E64-1</f>
        <v>-2.0931597234125077E-3</v>
      </c>
      <c r="F64" s="5">
        <f>Data!F65/Data!F64-1</f>
        <v>-2.893886175676208E-3</v>
      </c>
      <c r="G64" s="5">
        <f>Data!G65/Data!G64-1</f>
        <v>-3.44375825573906E-3</v>
      </c>
      <c r="H64" s="5">
        <f>Data!H65/Data!H64-1</f>
        <v>3.3209439792216688E-3</v>
      </c>
      <c r="I64" s="5">
        <f>Data!I65/Data!I64-1</f>
        <v>6.0938001742729675E-3</v>
      </c>
      <c r="J64" s="5">
        <f>Data!J65/Data!J64-1</f>
        <v>-1.8254593351396675E-4</v>
      </c>
      <c r="K64" s="5">
        <f>Data!K65/Data!K64-1</f>
        <v>1.2495312312783557E-3</v>
      </c>
    </row>
    <row r="65" spans="1:11" ht="15" customHeight="1" x14ac:dyDescent="0.35">
      <c r="A65" s="4">
        <f>Data!A66</f>
        <v>44469</v>
      </c>
      <c r="B65" s="5">
        <f>Data!B66/Data!B65-1</f>
        <v>-5.3313464058622362E-2</v>
      </c>
      <c r="C65" s="5">
        <f>Data!C66/Data!C65-1</f>
        <v>-1.6681073562184401E-2</v>
      </c>
      <c r="D65" s="5">
        <f>Data!D66/Data!D65-1</f>
        <v>1.0948619691864003E-4</v>
      </c>
      <c r="E65" s="5">
        <f>Data!E66/Data!E65-1</f>
        <v>-2.9135336446652893E-2</v>
      </c>
      <c r="F65" s="5">
        <f>Data!F66/Data!F65-1</f>
        <v>-9.941870093271632E-3</v>
      </c>
      <c r="G65" s="5">
        <f>Data!G66/Data!G65-1</f>
        <v>-1.5075785796175856E-2</v>
      </c>
      <c r="H65" s="5">
        <f>Data!H66/Data!H65-1</f>
        <v>-1.1177782260872071E-2</v>
      </c>
      <c r="I65" s="5">
        <f>Data!I66/Data!I65-1</f>
        <v>-3.7027029895081442E-3</v>
      </c>
      <c r="J65" s="5">
        <f>Data!J66/Data!J65-1</f>
        <v>-3.4713669284422988E-3</v>
      </c>
      <c r="K65" s="5">
        <f>Data!K66/Data!K65-1</f>
        <v>-9.6201068002809142E-3</v>
      </c>
    </row>
    <row r="66" spans="1:11" ht="15" customHeight="1" x14ac:dyDescent="0.35">
      <c r="A66" s="4">
        <f>Data!A67</f>
        <v>44498</v>
      </c>
      <c r="B66" s="5">
        <f>Data!B67/Data!B66-1</f>
        <v>0.10040948377912695</v>
      </c>
      <c r="C66" s="5">
        <f>Data!C67/Data!C66-1</f>
        <v>4.5155702813178822E-2</v>
      </c>
      <c r="D66" s="5">
        <f>Data!D67/Data!D66-1</f>
        <v>-1.0947421100360177E-4</v>
      </c>
      <c r="E66" s="5">
        <f>Data!E67/Data!E66-1</f>
        <v>1.9586008804337807E-2</v>
      </c>
      <c r="F66" s="5">
        <f>Data!F67/Data!F66-1</f>
        <v>-6.9458422755145355E-3</v>
      </c>
      <c r="G66" s="5">
        <f>Data!G67/Data!G66-1</f>
        <v>5.2992429041003319E-3</v>
      </c>
      <c r="H66" s="5">
        <f>Data!H67/Data!H66-1</f>
        <v>1.8331082496190421E-2</v>
      </c>
      <c r="I66" s="5">
        <f>Data!I67/Data!I66-1</f>
        <v>-3.1101625133653776E-3</v>
      </c>
      <c r="J66" s="5">
        <f>Data!J67/Data!J66-1</f>
        <v>-2.6929485812662302E-3</v>
      </c>
      <c r="K66" s="5">
        <f>Data!K67/Data!K66-1</f>
        <v>-5.0027147730732358E-3</v>
      </c>
    </row>
    <row r="67" spans="1:11" ht="15" customHeight="1" x14ac:dyDescent="0.35">
      <c r="A67" s="4">
        <f>Data!A68</f>
        <v>44530</v>
      </c>
      <c r="B67" s="5">
        <f>Data!B68/Data!B67-1</f>
        <v>2.9578825437635015E-3</v>
      </c>
      <c r="C67" s="5">
        <f>Data!C68/Data!C67-1</f>
        <v>-3.6884391138283013E-2</v>
      </c>
      <c r="D67" s="5">
        <f>Data!D68/Data!D67-1</f>
        <v>-2.1897239383750211E-4</v>
      </c>
      <c r="E67" s="5">
        <f>Data!E68/Data!E67-1</f>
        <v>2.6217962458278343E-2</v>
      </c>
      <c r="F67" s="5">
        <f>Data!F68/Data!F67-1</f>
        <v>4.8875325097992306E-3</v>
      </c>
      <c r="G67" s="5">
        <f>Data!G68/Data!G67-1</f>
        <v>-1.1803982063305352E-3</v>
      </c>
      <c r="H67" s="5">
        <f>Data!H68/Data!H67-1</f>
        <v>-2.0988580212438879E-2</v>
      </c>
      <c r="I67" s="5">
        <f>Data!I68/Data!I67-1</f>
        <v>-1.1685524759619814E-2</v>
      </c>
      <c r="J67" s="5">
        <f>Data!J68/Data!J67-1</f>
        <v>-2.4111936398334421E-3</v>
      </c>
      <c r="K67" s="5">
        <f>Data!K68/Data!K67-1</f>
        <v>1.5171922165830853E-3</v>
      </c>
    </row>
    <row r="68" spans="1:11" ht="15" customHeight="1" x14ac:dyDescent="0.35">
      <c r="A68" s="4">
        <f>Data!A69</f>
        <v>44561</v>
      </c>
      <c r="B68" s="5">
        <f>Data!B69/Data!B68-1</f>
        <v>-7.433195551291738E-3</v>
      </c>
      <c r="C68" s="5">
        <f>Data!C69/Data!C68-1</f>
        <v>6.5421883787225577E-2</v>
      </c>
      <c r="D68" s="5">
        <f>Data!D69/Data!D68-1</f>
        <v>0</v>
      </c>
      <c r="E68" s="5">
        <f>Data!E69/Data!E68-1</f>
        <v>-1.8876144325221E-2</v>
      </c>
      <c r="F68" s="5">
        <f>Data!F69/Data!F68-1</f>
        <v>-3.9091908599935277E-3</v>
      </c>
      <c r="G68" s="5">
        <f>Data!G69/Data!G68-1</f>
        <v>-3.388741698039377E-4</v>
      </c>
      <c r="H68" s="5">
        <f>Data!H69/Data!H68-1</f>
        <v>3.3206382666616019E-2</v>
      </c>
      <c r="I68" s="5">
        <f>Data!I69/Data!I68-1</f>
        <v>2.2839897846238744E-2</v>
      </c>
      <c r="J68" s="5">
        <f>Data!J69/Data!J68-1</f>
        <v>-1.3009846683837978E-3</v>
      </c>
      <c r="K68" s="5">
        <f>Data!K69/Data!K68-1</f>
        <v>-6.2406697027532765E-3</v>
      </c>
    </row>
    <row r="69" spans="1:11" ht="15" customHeight="1" x14ac:dyDescent="0.35">
      <c r="A69" s="4">
        <f>Data!A70</f>
        <v>44592</v>
      </c>
      <c r="B69" s="5">
        <f>Data!B70/Data!B69-1</f>
        <v>-0.13340734836038293</v>
      </c>
      <c r="C69" s="5">
        <f>Data!C70/Data!C69-1</f>
        <v>2.0012777598794163E-2</v>
      </c>
      <c r="D69" s="5">
        <f>Data!D70/Data!D69-1</f>
        <v>0</v>
      </c>
      <c r="E69" s="5">
        <f>Data!E70/Data!E69-1</f>
        <v>-3.7010679042758787E-2</v>
      </c>
      <c r="F69" s="5">
        <f>Data!F70/Data!F69-1</f>
        <v>-1.6536657016956058E-2</v>
      </c>
      <c r="G69" s="5">
        <f>Data!G70/Data!G69-1</f>
        <v>-3.5918815782012947E-2</v>
      </c>
      <c r="H69" s="5">
        <f>Data!H70/Data!H69-1</f>
        <v>-4.5143106539834887E-2</v>
      </c>
      <c r="I69" s="5">
        <f>Data!I70/Data!I69-1</f>
        <v>-2.6548701346216119E-2</v>
      </c>
      <c r="J69" s="5">
        <f>Data!J70/Data!J69-1</f>
        <v>-1.3963070349458206E-2</v>
      </c>
      <c r="K69" s="5">
        <f>Data!K70/Data!K69-1</f>
        <v>-1.2965383914493755E-2</v>
      </c>
    </row>
    <row r="70" spans="1:11" ht="15" customHeight="1" x14ac:dyDescent="0.35">
      <c r="A70" s="4">
        <f>Data!A71</f>
        <v>44620</v>
      </c>
      <c r="B70" s="5">
        <f>Data!B71/Data!B70-1</f>
        <v>-1.7505450793667832E-2</v>
      </c>
      <c r="C70" s="5">
        <f>Data!C71/Data!C70-1</f>
        <v>7.7903522640618839E-3</v>
      </c>
      <c r="D70" s="5">
        <f>Data!D71/Data!D70-1</f>
        <v>-2.1902035324850022E-4</v>
      </c>
      <c r="E70" s="5">
        <f>Data!E71/Data!E70-1</f>
        <v>-1.449189923255878E-2</v>
      </c>
      <c r="F70" s="5">
        <f>Data!F71/Data!F70-1</f>
        <v>-4.370434172328852E-3</v>
      </c>
      <c r="G70" s="5">
        <f>Data!G71/Data!G70-1</f>
        <v>-2.1317836810944235E-2</v>
      </c>
      <c r="H70" s="5">
        <f>Data!H71/Data!H70-1</f>
        <v>-3.031220858940753E-2</v>
      </c>
      <c r="I70" s="5">
        <f>Data!I71/Data!I70-1</f>
        <v>-8.6000975518495393E-3</v>
      </c>
      <c r="J70" s="5">
        <f>Data!J71/Data!J70-1</f>
        <v>-1.1570133353968393E-2</v>
      </c>
      <c r="K70" s="5">
        <f>Data!K71/Data!K70-1</f>
        <v>-1.6405970302609041E-2</v>
      </c>
    </row>
    <row r="71" spans="1:11" ht="15" customHeight="1" x14ac:dyDescent="0.35">
      <c r="A71" s="4">
        <f>Data!A72</f>
        <v>44651</v>
      </c>
      <c r="B71" s="5">
        <f>Data!B72/Data!B71-1</f>
        <v>2.3711036549445508E-2</v>
      </c>
      <c r="C71" s="5">
        <f>Data!C72/Data!C71-1</f>
        <v>3.4915146796955954E-2</v>
      </c>
      <c r="D71" s="5">
        <f>Data!D72/Data!D71-1</f>
        <v>2.1906833367246747E-4</v>
      </c>
      <c r="E71" s="5">
        <f>Data!E72/Data!E71-1</f>
        <v>-5.1733493992377255E-2</v>
      </c>
      <c r="F71" s="5">
        <f>Data!F72/Data!F71-1</f>
        <v>-3.3491596516268318E-2</v>
      </c>
      <c r="G71" s="5">
        <f>Data!G72/Data!G71-1</f>
        <v>-2.8947710217899325E-2</v>
      </c>
      <c r="H71" s="5">
        <f>Data!H72/Data!H71-1</f>
        <v>3.9318430064496646E-3</v>
      </c>
      <c r="I71" s="5">
        <f>Data!I72/Data!I71-1</f>
        <v>-1.2855776885717485E-2</v>
      </c>
      <c r="J71" s="5">
        <f>Data!J72/Data!J71-1</f>
        <v>-2.4271480460002492E-2</v>
      </c>
      <c r="K71" s="5">
        <f>Data!K72/Data!K71-1</f>
        <v>-2.8127978794249331E-2</v>
      </c>
    </row>
    <row r="72" spans="1:11" ht="15" customHeight="1" x14ac:dyDescent="0.35">
      <c r="A72" s="4">
        <f>Data!A73</f>
        <v>44680</v>
      </c>
      <c r="B72" s="5">
        <f>Data!B73/Data!B72-1</f>
        <v>-0.13488171562604723</v>
      </c>
      <c r="C72" s="5">
        <f>Data!C73/Data!C72-1</f>
        <v>-4.6006838006541262E-2</v>
      </c>
      <c r="D72" s="5">
        <f>Data!D73/Data!D72-1</f>
        <v>-1.0951017662430562E-4</v>
      </c>
      <c r="E72" s="5">
        <f>Data!E73/Data!E72-1</f>
        <v>-9.0727418966018325E-2</v>
      </c>
      <c r="F72" s="5">
        <f>Data!F73/Data!F72-1</f>
        <v>-2.3621809940568728E-2</v>
      </c>
      <c r="G72" s="5">
        <f>Data!G73/Data!G72-1</f>
        <v>-6.7000454499780759E-2</v>
      </c>
      <c r="H72" s="5">
        <f>Data!H73/Data!H72-1</f>
        <v>-6.4311143292453021E-2</v>
      </c>
      <c r="I72" s="5">
        <f>Data!I73/Data!I72-1</f>
        <v>-4.1807374408472708E-2</v>
      </c>
      <c r="J72" s="5">
        <f>Data!J73/Data!J72-1</f>
        <v>-3.5714434960229524E-2</v>
      </c>
      <c r="K72" s="5">
        <f>Data!K73/Data!K72-1</f>
        <v>-1.892410707537906E-2</v>
      </c>
    </row>
    <row r="73" spans="1:11" ht="15" customHeight="1" x14ac:dyDescent="0.35">
      <c r="A73" s="4">
        <f>Data!A74</f>
        <v>44712</v>
      </c>
      <c r="B73" s="5">
        <f>Data!B74/Data!B73-1</f>
        <v>3.4609944168180418E-2</v>
      </c>
      <c r="C73" s="5">
        <f>Data!C74/Data!C73-1</f>
        <v>4.2772893980923765E-2</v>
      </c>
      <c r="D73" s="5">
        <f>Data!D74/Data!D73-1</f>
        <v>3.2856651124957281E-4</v>
      </c>
      <c r="E73" s="5">
        <f>Data!E74/Data!E73-1</f>
        <v>-1.942579914615683E-2</v>
      </c>
      <c r="F73" s="5">
        <f>Data!F74/Data!F73-1</f>
        <v>6.9388284245033294E-3</v>
      </c>
      <c r="G73" s="5">
        <f>Data!G74/Data!G73-1</f>
        <v>1.8648908111315698E-2</v>
      </c>
      <c r="H73" s="5">
        <f>Data!H74/Data!H73-1</f>
        <v>2.7328494101430456E-2</v>
      </c>
      <c r="I73" s="5">
        <f>Data!I74/Data!I73-1</f>
        <v>1.6299018407202936E-2</v>
      </c>
      <c r="J73" s="5">
        <f>Data!J74/Data!J73-1</f>
        <v>1.2448006906121689E-2</v>
      </c>
      <c r="K73" s="5">
        <f>Data!K74/Data!K73-1</f>
        <v>-4.9472493122637573E-4</v>
      </c>
    </row>
    <row r="74" spans="1:11" ht="15" customHeight="1" x14ac:dyDescent="0.35">
      <c r="A74" s="4">
        <f>Data!A75</f>
        <v>44742</v>
      </c>
      <c r="B74" s="5">
        <f>Data!B75/Data!B74-1</f>
        <v>-9.8940883552098291E-2</v>
      </c>
      <c r="C74" s="5">
        <f>Data!C75/Data!C74-1</f>
        <v>-0.11170637855340271</v>
      </c>
      <c r="D74" s="5">
        <f>Data!D75/Data!D74-1</f>
        <v>7.7995881233539066E-4</v>
      </c>
      <c r="E74" s="5">
        <f>Data!E75/Data!E74-1</f>
        <v>-1.3829542611820123E-2</v>
      </c>
      <c r="F74" s="5">
        <f>Data!F75/Data!F74-1</f>
        <v>-7.8259590095087761E-3</v>
      </c>
      <c r="G74" s="5">
        <f>Data!G75/Data!G74-1</f>
        <v>-3.621728691728765E-2</v>
      </c>
      <c r="H74" s="5">
        <f>Data!H75/Data!H74-1</f>
        <v>-4.9803543860819199E-2</v>
      </c>
      <c r="I74" s="5">
        <f>Data!I75/Data!I74-1</f>
        <v>-7.0486658539770319E-2</v>
      </c>
      <c r="J74" s="5">
        <f>Data!J75/Data!J74-1</f>
        <v>-1.5319474609222894E-2</v>
      </c>
      <c r="K74" s="5">
        <f>Data!K75/Data!K74-1</f>
        <v>-9.7503913515587515E-3</v>
      </c>
    </row>
    <row r="75" spans="1:11" ht="15" customHeight="1" x14ac:dyDescent="0.35">
      <c r="A75" s="4">
        <f>Data!A76</f>
        <v>44771</v>
      </c>
      <c r="B75" s="5">
        <f>Data!B76/Data!B75-1</f>
        <v>0.12864560510937295</v>
      </c>
      <c r="C75" s="5">
        <f>Data!C76/Data!C75-1</f>
        <v>4.6000453060189184E-2</v>
      </c>
      <c r="D75" s="5">
        <f>Data!D76/Data!D75-1</f>
        <v>3.5945999731179512E-4</v>
      </c>
      <c r="E75" s="5">
        <f>Data!E76/Data!E75-1</f>
        <v>2.6191854953186766E-2</v>
      </c>
      <c r="F75" s="5">
        <f>Data!F76/Data!F75-1</f>
        <v>2.0017363417565548E-2</v>
      </c>
      <c r="G75" s="5">
        <f>Data!G76/Data!G75-1</f>
        <v>4.4409427767933884E-2</v>
      </c>
      <c r="H75" s="5">
        <f>Data!H76/Data!H75-1</f>
        <v>6.1728675417119128E-2</v>
      </c>
      <c r="I75" s="5">
        <f>Data!I76/Data!I75-1</f>
        <v>6.6946561358881551E-2</v>
      </c>
      <c r="J75" s="5">
        <f>Data!J76/Data!J75-1</f>
        <v>3.1627697513358255E-2</v>
      </c>
      <c r="K75" s="5">
        <f>Data!K76/Data!K75-1</f>
        <v>2.2034622376037927E-2</v>
      </c>
    </row>
    <row r="76" spans="1:11" ht="15" customHeight="1" x14ac:dyDescent="0.35">
      <c r="A76" s="4">
        <f>Data!A77</f>
        <v>44804</v>
      </c>
      <c r="B76" s="5">
        <f>Data!B77/Data!B76-1</f>
        <v>-4.4271607919590727E-2</v>
      </c>
      <c r="C76" s="5">
        <f>Data!C77/Data!C76-1</f>
        <v>-1.4331116854718662E-2</v>
      </c>
      <c r="D76" s="5">
        <f>Data!D77/Data!D76-1</f>
        <v>1.934137262294966E-3</v>
      </c>
      <c r="E76" s="5">
        <f>Data!E77/Data!E76-1</f>
        <v>-4.5056629779073876E-2</v>
      </c>
      <c r="F76" s="5">
        <f>Data!F77/Data!F76-1</f>
        <v>-2.903849182790752E-2</v>
      </c>
      <c r="G76" s="5">
        <f>Data!G77/Data!G76-1</f>
        <v>-4.4296947168089185E-2</v>
      </c>
      <c r="H76" s="5">
        <f>Data!H77/Data!H76-1</f>
        <v>-3.8042368679454319E-2</v>
      </c>
      <c r="I76" s="5">
        <f>Data!I77/Data!I76-1</f>
        <v>-4.3092211943165815E-2</v>
      </c>
      <c r="J76" s="5">
        <f>Data!J77/Data!J76-1</f>
        <v>-3.5381613932184641E-2</v>
      </c>
      <c r="K76" s="5">
        <f>Data!K77/Data!K76-1</f>
        <v>-3.0958452991178165E-2</v>
      </c>
    </row>
    <row r="77" spans="1:11" ht="15" customHeight="1" x14ac:dyDescent="0.35">
      <c r="A77" s="4">
        <f>Data!A78</f>
        <v>44834</v>
      </c>
      <c r="B77" s="5">
        <f>Data!B78/Data!B77-1</f>
        <v>-8.929785638718557E-2</v>
      </c>
      <c r="C77" s="5">
        <f>Data!C78/Data!C77-1</f>
        <v>-9.1275683688135101E-2</v>
      </c>
      <c r="D77" s="5">
        <f>Data!D78/Data!D77-1</f>
        <v>2.0613841316041714E-3</v>
      </c>
      <c r="E77" s="5">
        <f>Data!E78/Data!E77-1</f>
        <v>-7.976708127315657E-2</v>
      </c>
      <c r="F77" s="5">
        <f>Data!F78/Data!F77-1</f>
        <v>-3.2814347347306705E-2</v>
      </c>
      <c r="G77" s="5">
        <f>Data!G78/Data!G77-1</f>
        <v>-5.9780891949686166E-2</v>
      </c>
      <c r="H77" s="5">
        <f>Data!H78/Data!H77-1</f>
        <v>-4.4292846603197655E-2</v>
      </c>
      <c r="I77" s="5">
        <f>Data!I78/Data!I77-1</f>
        <v>-3.741511047412549E-2</v>
      </c>
      <c r="J77" s="5">
        <f>Data!J78/Data!J77-1</f>
        <v>-5.0908554010454132E-2</v>
      </c>
      <c r="K77" s="5">
        <f>Data!K78/Data!K77-1</f>
        <v>-3.168904016052343E-2</v>
      </c>
    </row>
    <row r="78" spans="1:11" ht="15" customHeight="1" x14ac:dyDescent="0.35">
      <c r="A78" s="4">
        <f>Data!A79</f>
        <v>44865</v>
      </c>
      <c r="B78" s="5">
        <f>Data!B79/Data!B78-1</f>
        <v>7.8687712915066488E-2</v>
      </c>
      <c r="C78" s="5">
        <f>Data!C79/Data!C78-1</f>
        <v>0.13048030651003173</v>
      </c>
      <c r="D78" s="5">
        <f>Data!D79/Data!D78-1</f>
        <v>1.58928086078447E-3</v>
      </c>
      <c r="E78" s="5">
        <f>Data!E79/Data!E78-1</f>
        <v>-5.3553974495942458E-2</v>
      </c>
      <c r="F78" s="5">
        <f>Data!F79/Data!F78-1</f>
        <v>-7.2119261261377465E-3</v>
      </c>
      <c r="G78" s="5">
        <f>Data!G79/Data!G78-1</f>
        <v>-7.510456348085115E-3</v>
      </c>
      <c r="H78" s="5">
        <f>Data!H79/Data!H78-1</f>
        <v>-3.1511134328926382E-2</v>
      </c>
      <c r="I78" s="5">
        <f>Data!I79/Data!I78-1</f>
        <v>3.3591976683724045E-2</v>
      </c>
      <c r="J78" s="5">
        <f>Data!J79/Data!J78-1</f>
        <v>-1.1418051272610197E-2</v>
      </c>
      <c r="K78" s="5">
        <f>Data!K79/Data!K78-1</f>
        <v>-1.6826545905089585E-2</v>
      </c>
    </row>
    <row r="79" spans="1:11" ht="15" customHeight="1" x14ac:dyDescent="0.35">
      <c r="A79" s="4">
        <f>Data!A80</f>
        <v>44895</v>
      </c>
      <c r="B79" s="5">
        <f>Data!B80/Data!B79-1</f>
        <v>5.3785527054564852E-2</v>
      </c>
      <c r="C79" s="5">
        <f>Data!C80/Data!C79-1</f>
        <v>5.3304580541533975E-2</v>
      </c>
      <c r="D79" s="5">
        <f>Data!D80/Data!D79-1</f>
        <v>3.1465887787547331E-3</v>
      </c>
      <c r="E79" s="5">
        <f>Data!E80/Data!E79-1</f>
        <v>6.9085188654321783E-2</v>
      </c>
      <c r="F79" s="5">
        <f>Data!F80/Data!F79-1</f>
        <v>2.4577168736152011E-2</v>
      </c>
      <c r="G79" s="5">
        <f>Data!G80/Data!G79-1</f>
        <v>6.6454410235731176E-2</v>
      </c>
      <c r="H79" s="5">
        <f>Data!H80/Data!H79-1</f>
        <v>4.9784022466904609E-2</v>
      </c>
      <c r="I79" s="5">
        <f>Data!I80/Data!I79-1</f>
        <v>3.4289761151389042E-2</v>
      </c>
      <c r="J79" s="5">
        <f>Data!J80/Data!J79-1</f>
        <v>4.26641562983614E-2</v>
      </c>
      <c r="K79" s="5">
        <f>Data!K80/Data!K79-1</f>
        <v>2.8217869911272508E-2</v>
      </c>
    </row>
    <row r="80" spans="1:11" ht="15" customHeight="1" x14ac:dyDescent="0.35">
      <c r="A80" s="4">
        <f>Data!A81</f>
        <v>44925</v>
      </c>
      <c r="B80" s="5">
        <f>Data!B81/Data!B80-1</f>
        <v>-7.3471973551895275E-2</v>
      </c>
      <c r="C80" s="5">
        <f>Data!C81/Data!C80-1</f>
        <v>-5.4535041464310652E-2</v>
      </c>
      <c r="D80" s="5">
        <f>Data!D81/Data!D80-1</f>
        <v>3.631283762575821E-3</v>
      </c>
      <c r="E80" s="5">
        <f>Data!E81/Data!E80-1</f>
        <v>-2.2858234018893198E-2</v>
      </c>
      <c r="F80" s="5">
        <f>Data!F81/Data!F80-1</f>
        <v>-6.6334571029041944E-3</v>
      </c>
      <c r="G80" s="5">
        <f>Data!G81/Data!G80-1</f>
        <v>-1.5556228415458895E-2</v>
      </c>
      <c r="H80" s="5">
        <f>Data!H81/Data!H80-1</f>
        <v>-2.8998471027531836E-2</v>
      </c>
      <c r="I80" s="5">
        <f>Data!I81/Data!I80-1</f>
        <v>-1.7558690501830787E-2</v>
      </c>
      <c r="J80" s="5">
        <f>Data!J81/Data!J80-1</f>
        <v>-8.3151375511826275E-3</v>
      </c>
      <c r="K80" s="5">
        <f>Data!K81/Data!K80-1</f>
        <v>-3.7107472517283746E-4</v>
      </c>
    </row>
    <row r="81" spans="1:11" ht="15" customHeight="1" x14ac:dyDescent="0.35">
      <c r="A81" s="4">
        <f>Data!A82</f>
        <v>44957</v>
      </c>
      <c r="B81" s="5">
        <f>Data!B82/Data!B81-1</f>
        <v>3.7353918512418316E-2</v>
      </c>
      <c r="C81" s="5">
        <f>Data!C82/Data!C81-1</f>
        <v>0.11632685278212529</v>
      </c>
      <c r="D81" s="5">
        <f>Data!D82/Data!D81-1</f>
        <v>2.8424609971762216E-3</v>
      </c>
      <c r="E81" s="5">
        <f>Data!E82/Data!E81-1</f>
        <v>7.1305407393783327E-2</v>
      </c>
      <c r="F81" s="5">
        <f>Data!F82/Data!F81-1</f>
        <v>2.3726454693739463E-2</v>
      </c>
      <c r="G81" s="5">
        <f>Data!G82/Data!G81-1</f>
        <v>5.1598480863696672E-2</v>
      </c>
      <c r="H81" s="5">
        <f>Data!H82/Data!H81-1</f>
        <v>0.10055594237052112</v>
      </c>
      <c r="I81" s="5">
        <f>Data!I82/Data!I81-1</f>
        <v>3.6670338724498874E-2</v>
      </c>
      <c r="J81" s="5">
        <f>Data!J82/Data!J81-1</f>
        <v>3.3746557714232184E-2</v>
      </c>
      <c r="K81" s="5">
        <f>Data!K82/Data!K81-1</f>
        <v>2.9188365344460232E-2</v>
      </c>
    </row>
    <row r="82" spans="1:11" ht="15" customHeight="1" x14ac:dyDescent="0.35">
      <c r="A82" s="4">
        <f>Data!A83</f>
        <v>44985</v>
      </c>
      <c r="B82" s="5">
        <f>Data!B83/Data!B82-1</f>
        <v>-3.157038998443773E-2</v>
      </c>
      <c r="C82" s="5">
        <f>Data!C83/Data!C82-1</f>
        <v>-5.9292101365787442E-2</v>
      </c>
      <c r="D82" s="5">
        <f>Data!D83/Data!D82-1</f>
        <v>3.4570910374145392E-3</v>
      </c>
      <c r="E82" s="5">
        <f>Data!E83/Data!E82-1</f>
        <v>-4.812758195182143E-2</v>
      </c>
      <c r="F82" s="5">
        <f>Data!F83/Data!F82-1</f>
        <v>-2.4598393574297162E-2</v>
      </c>
      <c r="G82" s="5">
        <f>Data!G83/Data!G82-1</f>
        <v>-4.1720093734921249E-2</v>
      </c>
      <c r="H82" s="5">
        <f>Data!H83/Data!H82-1</f>
        <v>-2.139330987012189E-2</v>
      </c>
      <c r="I82" s="5">
        <f>Data!I83/Data!I82-1</f>
        <v>-1.88941923466317E-2</v>
      </c>
      <c r="J82" s="5">
        <f>Data!J83/Data!J82-1</f>
        <v>-2.7488657825229468E-2</v>
      </c>
      <c r="K82" s="5">
        <f>Data!K83/Data!K82-1</f>
        <v>-2.1377503333732228E-2</v>
      </c>
    </row>
    <row r="83" spans="1:11" ht="15" customHeight="1" x14ac:dyDescent="0.35">
      <c r="A83" s="4">
        <f>Data!A84</f>
        <v>45016</v>
      </c>
      <c r="B83" s="5">
        <f>Data!B84/Data!B83-1</f>
        <v>-1.863852925641396E-3</v>
      </c>
      <c r="C83" s="5">
        <f>Data!C84/Data!C83-1</f>
        <v>-6.5827752907909987E-2</v>
      </c>
      <c r="D83" s="5">
        <f>Data!D84/Data!D83-1</f>
        <v>3.9941605720021922E-3</v>
      </c>
      <c r="E83" s="5">
        <f>Data!E84/Data!E83-1</f>
        <v>4.819650602104053E-2</v>
      </c>
      <c r="F83" s="5">
        <f>Data!F84/Data!F83-1</f>
        <v>3.0454921792834933E-2</v>
      </c>
      <c r="G83" s="5">
        <f>Data!G84/Data!G83-1</f>
        <v>3.8505573834788143E-2</v>
      </c>
      <c r="H83" s="5">
        <f>Data!H84/Data!H83-1</f>
        <v>-3.9656112125588283E-2</v>
      </c>
      <c r="I83" s="5">
        <f>Data!I84/Data!I83-1</f>
        <v>1.9855297380408254E-2</v>
      </c>
      <c r="J83" s="5">
        <f>Data!J84/Data!J83-1</f>
        <v>2.1263502431535075E-2</v>
      </c>
      <c r="K83" s="5">
        <f>Data!K84/Data!K83-1</f>
        <v>3.4092137367924824E-3</v>
      </c>
    </row>
    <row r="84" spans="1:11" ht="15" customHeight="1" x14ac:dyDescent="0.35">
      <c r="A84" s="4">
        <f>Data!A85</f>
        <v>45044</v>
      </c>
      <c r="B84" s="5">
        <f>Data!B85/Data!B84-1</f>
        <v>8.5832188832950518E-3</v>
      </c>
      <c r="C84" s="5">
        <f>Data!C85/Data!C84-1</f>
        <v>8.7258130006495627E-4</v>
      </c>
      <c r="D84" s="5">
        <f>Data!D85/Data!D84-1</f>
        <v>3.6300320237045991E-3</v>
      </c>
      <c r="E84" s="5">
        <f>Data!E85/Data!E84-1</f>
        <v>4.4227444675366545E-3</v>
      </c>
      <c r="F84" s="5">
        <f>Data!F85/Data!F84-1</f>
        <v>7.1599193423297347E-3</v>
      </c>
      <c r="G84" s="5">
        <f>Data!G85/Data!G84-1</f>
        <v>6.0255974307441562E-3</v>
      </c>
      <c r="H84" s="5">
        <f>Data!H85/Data!H84-1</f>
        <v>1.0777031645491153E-2</v>
      </c>
      <c r="I84" s="5">
        <f>Data!I85/Data!I84-1</f>
        <v>2.0210221528684791E-3</v>
      </c>
      <c r="J84" s="5">
        <f>Data!J85/Data!J84-1</f>
        <v>4.2364296108010624E-3</v>
      </c>
      <c r="K84" s="5">
        <f>Data!K85/Data!K84-1</f>
        <v>1.8268444595136435E-2</v>
      </c>
    </row>
    <row r="85" spans="1:11" ht="15" customHeight="1" x14ac:dyDescent="0.35">
      <c r="A85" s="4">
        <f>Data!A86</f>
        <v>45077</v>
      </c>
      <c r="B85" s="5">
        <f>Data!B86/Data!B85-1</f>
        <v>-5.8323335793451725E-2</v>
      </c>
      <c r="C85" s="5">
        <f>Data!C86/Data!C85-1</f>
        <v>-5.9718773992202823E-2</v>
      </c>
      <c r="D85" s="5">
        <f>Data!D86/Data!D85-1</f>
        <v>3.7528534469639663E-3</v>
      </c>
      <c r="E85" s="5">
        <f>Data!E86/Data!E85-1</f>
        <v>-2.8598502085195987E-2</v>
      </c>
      <c r="F85" s="5">
        <f>Data!F86/Data!F85-1</f>
        <v>-1.0072137449254281E-2</v>
      </c>
      <c r="G85" s="5">
        <f>Data!G86/Data!G85-1</f>
        <v>-1.763898542492115E-2</v>
      </c>
      <c r="H85" s="5">
        <f>Data!H86/Data!H85-1</f>
        <v>-2.3658320167053049E-2</v>
      </c>
      <c r="I85" s="5">
        <f>Data!I86/Data!I85-1</f>
        <v>-1.2296778423337096E-2</v>
      </c>
      <c r="J85" s="5">
        <f>Data!J86/Data!J85-1</f>
        <v>-6.7392118895209796E-3</v>
      </c>
      <c r="K85" s="5">
        <f>Data!K86/Data!K85-1</f>
        <v>-1.1315905393828096E-2</v>
      </c>
    </row>
    <row r="86" spans="1:11" ht="15" customHeight="1" x14ac:dyDescent="0.35">
      <c r="A86" s="4">
        <f>Data!A87</f>
        <v>45107</v>
      </c>
      <c r="B86" s="5">
        <f>Data!B87/Data!B86-1</f>
        <v>6.7819909290091296E-2</v>
      </c>
      <c r="C86" s="5">
        <f>Data!C87/Data!C86-1</f>
        <v>9.2744313911580667E-2</v>
      </c>
      <c r="D86" s="5">
        <f>Data!D87/Data!D86-1</f>
        <v>4.6010053075304924E-3</v>
      </c>
      <c r="E86" s="5">
        <f>Data!E87/Data!E86-1</f>
        <v>-6.6133556717806741E-5</v>
      </c>
      <c r="F86" s="5">
        <f>Data!F87/Data!F86-1</f>
        <v>-1.2673155189366181E-2</v>
      </c>
      <c r="G86" s="5">
        <f>Data!G87/Data!G86-1</f>
        <v>8.0889388197231682E-3</v>
      </c>
      <c r="H86" s="5">
        <f>Data!H87/Data!H86-1</f>
        <v>2.093215572029461E-2</v>
      </c>
      <c r="I86" s="5">
        <f>Data!I87/Data!I86-1</f>
        <v>1.7773455399971771E-2</v>
      </c>
      <c r="J86" s="5">
        <f>Data!J87/Data!J86-1</f>
        <v>-4.7615907142386504E-3</v>
      </c>
      <c r="K86" s="5">
        <f>Data!K87/Data!K86-1</f>
        <v>-6.4375009866742827E-3</v>
      </c>
    </row>
    <row r="87" spans="1:11" ht="15" customHeight="1" x14ac:dyDescent="0.35">
      <c r="A87" s="4">
        <f>Data!A88</f>
        <v>45138</v>
      </c>
      <c r="B87" s="5">
        <f>Data!B88/Data!B87-1</f>
        <v>4.1472907399919157E-2</v>
      </c>
      <c r="C87" s="5">
        <f>Data!C88/Data!C87-1</f>
        <v>4.1462982685547489E-2</v>
      </c>
      <c r="D87" s="5">
        <f>Data!D88/Data!D87-1</f>
        <v>3.8565209210976725E-3</v>
      </c>
      <c r="E87" s="5">
        <f>Data!E88/Data!E87-1</f>
        <v>-2.19081895292631E-2</v>
      </c>
      <c r="F87" s="5">
        <f>Data!F88/Data!F87-1</f>
        <v>-1.194396735105463E-3</v>
      </c>
      <c r="G87" s="5">
        <f>Data!G88/Data!G87-1</f>
        <v>5.4937655380582484E-4</v>
      </c>
      <c r="H87" s="5">
        <f>Data!H88/Data!H87-1</f>
        <v>1.4522518744205071E-2</v>
      </c>
      <c r="I87" s="5">
        <f>Data!I88/Data!I87-1</f>
        <v>1.1161506571711666E-2</v>
      </c>
      <c r="J87" s="5">
        <f>Data!J88/Data!J87-1</f>
        <v>-8.6145201049647735E-4</v>
      </c>
      <c r="K87" s="5">
        <f>Data!K88/Data!K87-1</f>
        <v>1.2022731967227251E-3</v>
      </c>
    </row>
    <row r="88" spans="1:11" ht="15" customHeight="1" x14ac:dyDescent="0.35">
      <c r="A88" s="4">
        <f>Data!A89</f>
        <v>45169</v>
      </c>
      <c r="B88" s="5">
        <f>Data!B89/Data!B88-1</f>
        <v>-1.4423426921303606E-2</v>
      </c>
      <c r="C88" s="5">
        <f>Data!C89/Data!C88-1</f>
        <v>-4.5115190197768218E-2</v>
      </c>
      <c r="D88" s="5">
        <f>Data!D89/Data!D88-1</f>
        <v>4.9622444459145321E-3</v>
      </c>
      <c r="E88" s="5">
        <f>Data!E89/Data!E88-1</f>
        <v>-2.7490082495604806E-2</v>
      </c>
      <c r="F88" s="5">
        <f>Data!F89/Data!F88-1</f>
        <v>-1.7195900749678028E-3</v>
      </c>
      <c r="G88" s="5">
        <f>Data!G89/Data!G88-1</f>
        <v>-1.2252702644960145E-2</v>
      </c>
      <c r="H88" s="5">
        <f>Data!H89/Data!H88-1</f>
        <v>-1.0040913429291143E-2</v>
      </c>
      <c r="I88" s="5">
        <f>Data!I89/Data!I88-1</f>
        <v>1.8580177052054392E-3</v>
      </c>
      <c r="J88" s="5">
        <f>Data!J89/Data!J88-1</f>
        <v>-8.0117789067370992E-3</v>
      </c>
      <c r="K88" s="5">
        <f>Data!K89/Data!K88-1</f>
        <v>-4.0203982310238473E-4</v>
      </c>
    </row>
    <row r="89" spans="1:11" ht="15" customHeight="1" x14ac:dyDescent="0.35">
      <c r="A89" s="4">
        <f>Data!A90</f>
        <v>45198</v>
      </c>
      <c r="B89" s="5">
        <f>Data!B90/Data!B89-1</f>
        <v>-3.4692449661503422E-2</v>
      </c>
      <c r="C89" s="5">
        <f>Data!C90/Data!C89-1</f>
        <v>-3.9245833053809021E-2</v>
      </c>
      <c r="D89" s="5">
        <f>Data!D90/Data!D89-1</f>
        <v>3.9872941153002994E-3</v>
      </c>
      <c r="E89" s="5">
        <f>Data!E90/Data!E89-1</f>
        <v>-7.2946452627827951E-2</v>
      </c>
      <c r="F89" s="5">
        <f>Data!F90/Data!F89-1</f>
        <v>-1.6577589122320213E-2</v>
      </c>
      <c r="G89" s="5">
        <f>Data!G90/Data!G89-1</f>
        <v>-3.5544980983795549E-2</v>
      </c>
      <c r="H89" s="5">
        <f>Data!H90/Data!H89-1</f>
        <v>-1.458673642753916E-2</v>
      </c>
      <c r="I89" s="5">
        <f>Data!I90/Data!I89-1</f>
        <v>-1.6148324326563435E-2</v>
      </c>
      <c r="J89" s="5">
        <f>Data!J90/Data!J89-1</f>
        <v>-3.0933119386686303E-2</v>
      </c>
      <c r="K89" s="5">
        <f>Data!K90/Data!K89-1</f>
        <v>-1.1191081004798153E-2</v>
      </c>
    </row>
    <row r="90" spans="1:11" ht="15" customHeight="1" x14ac:dyDescent="0.35">
      <c r="A90" s="4">
        <f>Data!A91</f>
        <v>45230</v>
      </c>
      <c r="B90" s="5">
        <f>Data!B91/Data!B90-1</f>
        <v>-2.7527420877861308E-2</v>
      </c>
      <c r="C90" s="5">
        <f>Data!C91/Data!C90-1</f>
        <v>-5.6914733908066673E-2</v>
      </c>
      <c r="D90" s="5">
        <f>Data!D91/Data!D90-1</f>
        <v>4.3121816897673249E-3</v>
      </c>
      <c r="E90" s="5">
        <f>Data!E91/Data!E90-1</f>
        <v>-4.8701217530438212E-2</v>
      </c>
      <c r="F90" s="5">
        <f>Data!F91/Data!F90-1</f>
        <v>-8.1762259518040059E-3</v>
      </c>
      <c r="G90" s="5">
        <f>Data!G91/Data!G90-1</f>
        <v>-2.4083577849627336E-2</v>
      </c>
      <c r="H90" s="5">
        <f>Data!H91/Data!H90-1</f>
        <v>-4.6925633568757785E-2</v>
      </c>
      <c r="I90" s="5">
        <f>Data!I91/Data!I90-1</f>
        <v>-1.0397826052632952E-2</v>
      </c>
      <c r="J90" s="5">
        <f>Data!J91/Data!J90-1</f>
        <v>-2.1315916565094351E-2</v>
      </c>
      <c r="K90" s="5">
        <f>Data!K91/Data!K90-1</f>
        <v>-1.0875305065151886E-2</v>
      </c>
    </row>
    <row r="91" spans="1:11" ht="15" customHeight="1" x14ac:dyDescent="0.35">
      <c r="A91" s="4">
        <f>Data!A92</f>
        <v>45260</v>
      </c>
      <c r="B91" s="5">
        <f>Data!B92/Data!B91-1</f>
        <v>5.8203365343107771E-2</v>
      </c>
      <c r="C91" s="5">
        <f>Data!C92/Data!C91-1</f>
        <v>0.10433276636473954</v>
      </c>
      <c r="D91" s="5">
        <f>Data!D92/Data!D91-1</f>
        <v>4.6774359461299042E-3</v>
      </c>
      <c r="E91" s="5">
        <f>Data!E92/Data!E91-1</f>
        <v>9.0703923681375143E-2</v>
      </c>
      <c r="F91" s="5">
        <f>Data!F92/Data!F91-1</f>
        <v>3.101081652095572E-2</v>
      </c>
      <c r="G91" s="5">
        <f>Data!G92/Data!G91-1</f>
        <v>7.5692917203834087E-2</v>
      </c>
      <c r="H91" s="5">
        <f>Data!H92/Data!H91-1</f>
        <v>7.91961814258626E-2</v>
      </c>
      <c r="I91" s="5">
        <f>Data!I92/Data!I91-1</f>
        <v>4.881704532561848E-2</v>
      </c>
      <c r="J91" s="5">
        <f>Data!J92/Data!J91-1</f>
        <v>5.2113773530105822E-2</v>
      </c>
      <c r="K91" s="5">
        <f>Data!K92/Data!K91-1</f>
        <v>2.9577591804343051E-2</v>
      </c>
    </row>
    <row r="92" spans="1:11" ht="15" customHeight="1" x14ac:dyDescent="0.35">
      <c r="A92" s="4">
        <f>Data!A93</f>
        <v>45289</v>
      </c>
      <c r="B92" s="5">
        <f>Data!B93/Data!B92-1</f>
        <v>4.4500568527436446E-2</v>
      </c>
      <c r="C92" s="5">
        <f>Data!C93/Data!C92-1</f>
        <v>7.8112543305109305E-2</v>
      </c>
      <c r="D92" s="5">
        <f>Data!D93/Data!D92-1</f>
        <v>4.2795837176952123E-3</v>
      </c>
      <c r="E92" s="5">
        <f>Data!E93/Data!E92-1</f>
        <v>8.2730205199100126E-2</v>
      </c>
      <c r="F92" s="5">
        <f>Data!F93/Data!F92-1</f>
        <v>2.6388242837207532E-2</v>
      </c>
      <c r="G92" s="5">
        <f>Data!G93/Data!G92-1</f>
        <v>4.8660053992350516E-2</v>
      </c>
      <c r="H92" s="5">
        <f>Data!H93/Data!H92-1</f>
        <v>2.9391331041753288E-2</v>
      </c>
      <c r="I92" s="5">
        <f>Data!I93/Data!I92-1</f>
        <v>3.1855870230472094E-2</v>
      </c>
      <c r="J92" s="5">
        <f>Data!J93/Data!J92-1</f>
        <v>4.1785969855638871E-2</v>
      </c>
      <c r="K92" s="5">
        <f>Data!K93/Data!K92-1</f>
        <v>3.1203193895301462E-2</v>
      </c>
    </row>
    <row r="93" spans="1:11" ht="15" customHeight="1" x14ac:dyDescent="0.35">
      <c r="A93" s="4">
        <f>Data!A94</f>
        <v>45322</v>
      </c>
      <c r="B93" s="5">
        <f>Data!B94/Data!B93-1</f>
        <v>2.354059624444016E-2</v>
      </c>
      <c r="C93" s="5">
        <f>Data!C94/Data!C93-1</f>
        <v>-6.9084745839366191E-3</v>
      </c>
      <c r="D93" s="5">
        <f>Data!D94/Data!D93-1</f>
        <v>4.2672287030682821E-3</v>
      </c>
      <c r="E93" s="5">
        <f>Data!E94/Data!E93-1</f>
        <v>-1.8262134652991646E-2</v>
      </c>
      <c r="F93" s="5">
        <f>Data!F94/Data!F93-1</f>
        <v>2.4527816565003135E-3</v>
      </c>
      <c r="G93" s="5">
        <f>Data!G94/Data!G93-1</f>
        <v>-4.4275280879801926E-3</v>
      </c>
      <c r="H93" s="5">
        <f>Data!H94/Data!H93-1</f>
        <v>2.7892932887841448E-2</v>
      </c>
      <c r="I93" s="5">
        <f>Data!I94/Data!I93-1</f>
        <v>1.1630183109860859E-3</v>
      </c>
      <c r="J93" s="5">
        <f>Data!J94/Data!J93-1</f>
        <v>-2.9765375776077407E-3</v>
      </c>
      <c r="K93" s="5">
        <f>Data!K94/Data!K93-1</f>
        <v>4.9163256326754112E-3</v>
      </c>
    </row>
    <row r="94" spans="1:11" ht="15" customHeight="1" x14ac:dyDescent="0.35">
      <c r="A94" s="4">
        <f>Data!A95</f>
        <v>45351</v>
      </c>
      <c r="B94" s="5">
        <f>Data!B95/Data!B94-1</f>
        <v>8.2074384484379204E-2</v>
      </c>
      <c r="C94" s="5">
        <f>Data!C95/Data!C94-1</f>
        <v>2.2404934015400002E-2</v>
      </c>
      <c r="D94" s="5">
        <f>Data!D95/Data!D94-1</f>
        <v>4.4443229704045351E-3</v>
      </c>
      <c r="E94" s="5">
        <f>Data!E95/Data!E94-1</f>
        <v>-2.3308266415808632E-2</v>
      </c>
      <c r="F94" s="5">
        <f>Data!F95/Data!F94-1</f>
        <v>-1.5221355717859653E-2</v>
      </c>
      <c r="G94" s="5">
        <f>Data!G95/Data!G94-1</f>
        <v>-1.9350856191830523E-2</v>
      </c>
      <c r="H94" s="5">
        <f>Data!H95/Data!H94-1</f>
        <v>9.2610265767796296E-3</v>
      </c>
      <c r="I94" s="5">
        <f>Data!I95/Data!I94-1</f>
        <v>3.0039733929110302E-3</v>
      </c>
      <c r="J94" s="5">
        <f>Data!J95/Data!J94-1</f>
        <v>-1.7053298114908189E-2</v>
      </c>
      <c r="K94" s="5">
        <f>Data!K95/Data!K94-1</f>
        <v>-2.3176596877667599E-3</v>
      </c>
    </row>
    <row r="95" spans="1:11" ht="15" customHeight="1" x14ac:dyDescent="0.35">
      <c r="A95" s="4">
        <f>Data!A96</f>
        <v>45380</v>
      </c>
      <c r="B95" s="5">
        <f>Data!B96/Data!B95-1</f>
        <v>2.9973177735333145E-2</v>
      </c>
      <c r="C95" s="5">
        <f>Data!C96/Data!C95-1</f>
        <v>6.9691794837244636E-2</v>
      </c>
      <c r="D95" s="5">
        <f>Data!D96/Data!D95-1</f>
        <v>4.1020168978607163E-3</v>
      </c>
      <c r="E95" s="5">
        <f>Data!E96/Data!E95-1</f>
        <v>1.0168380253904763E-2</v>
      </c>
      <c r="F95" s="5">
        <f>Data!F96/Data!F95-1</f>
        <v>5.375543603010291E-3</v>
      </c>
      <c r="G95" s="5">
        <f>Data!G96/Data!G95-1</f>
        <v>1.5389698236437654E-2</v>
      </c>
      <c r="H95" s="5">
        <f>Data!H96/Data!H95-1</f>
        <v>6.8952735415153121E-3</v>
      </c>
      <c r="I95" s="5">
        <f>Data!I96/Data!I95-1</f>
        <v>1.0880443178231225E-2</v>
      </c>
      <c r="J95" s="5">
        <f>Data!J96/Data!J95-1</f>
        <v>8.7388937209820217E-3</v>
      </c>
      <c r="K95" s="5">
        <f>Data!K96/Data!K95-1</f>
        <v>9.2328703060453599E-3</v>
      </c>
    </row>
    <row r="96" spans="1:11" ht="15" customHeight="1" x14ac:dyDescent="0.35">
      <c r="A96" s="4">
        <f>Data!A97</f>
        <v>45412</v>
      </c>
      <c r="B96" s="5">
        <f>Data!B97/Data!B96-1</f>
        <v>-6.2340625070423927E-2</v>
      </c>
      <c r="C96" s="5">
        <f>Data!C97/Data!C96-1</f>
        <v>-5.6385153845833424E-2</v>
      </c>
      <c r="D96" s="5">
        <f>Data!D97/Data!D96-1</f>
        <v>4.3185089046260394E-3</v>
      </c>
      <c r="E96" s="5">
        <f>Data!E97/Data!E96-1</f>
        <v>-5.924738872088231E-2</v>
      </c>
      <c r="F96" s="5">
        <f>Data!F97/Data!F96-1</f>
        <v>-2.0711528790351763E-2</v>
      </c>
      <c r="G96" s="5">
        <f>Data!G97/Data!G96-1</f>
        <v>-3.2397363822498471E-2</v>
      </c>
      <c r="H96" s="5">
        <f>Data!H97/Data!H96-1</f>
        <v>-3.4738004635490372E-2</v>
      </c>
      <c r="I96" s="5">
        <f>Data!I97/Data!I96-1</f>
        <v>-1.3490474772731464E-2</v>
      </c>
      <c r="J96" s="5">
        <f>Data!J97/Data!J96-1</f>
        <v>-2.8170321362862349E-2</v>
      </c>
      <c r="K96" s="5">
        <f>Data!K97/Data!K96-1</f>
        <v>-2.0944456476663986E-2</v>
      </c>
    </row>
    <row r="97" spans="1:11" ht="15" customHeight="1" x14ac:dyDescent="0.35">
      <c r="A97" s="4">
        <f>Data!A98</f>
        <v>45443</v>
      </c>
      <c r="B97" s="5">
        <f>Data!B98/Data!B97-1</f>
        <v>3.3591636916922019E-2</v>
      </c>
      <c r="C97" s="5">
        <f>Data!C98/Data!C97-1</f>
        <v>2.4992001412164289E-2</v>
      </c>
      <c r="D97" s="5">
        <f>Data!D98/Data!D97-1</f>
        <v>4.5668789010966382E-3</v>
      </c>
      <c r="E97" s="5">
        <f>Data!E98/Data!E97-1</f>
        <v>2.8543430279237336E-2</v>
      </c>
      <c r="F97" s="5">
        <f>Data!F98/Data!F97-1</f>
        <v>1.4410565647782425E-2</v>
      </c>
      <c r="G97" s="5">
        <f>Data!G98/Data!G97-1</f>
        <v>2.2120341567637425E-2</v>
      </c>
      <c r="H97" s="5">
        <f>Data!H98/Data!H97-1</f>
        <v>3.0775277816153856E-2</v>
      </c>
      <c r="I97" s="5">
        <f>Data!I98/Data!I97-1</f>
        <v>1.6308530571951696E-2</v>
      </c>
      <c r="J97" s="5">
        <f>Data!J98/Data!J97-1</f>
        <v>1.9613793743651353E-2</v>
      </c>
      <c r="K97" s="5">
        <f>Data!K98/Data!K97-1</f>
        <v>1.5989079959118468E-2</v>
      </c>
    </row>
    <row r="98" spans="1:11" ht="15" customHeight="1" x14ac:dyDescent="0.35">
      <c r="A98" s="4">
        <f>Data!A99</f>
        <v>45471</v>
      </c>
      <c r="B98" s="5">
        <f>Data!B99/Data!B98-1</f>
        <v>4.8383858393593382E-2</v>
      </c>
      <c r="C98" s="5">
        <f>Data!C99/Data!C98-1</f>
        <v>-2.0425956043884974E-2</v>
      </c>
      <c r="D98" s="5">
        <f>Data!D99/Data!D98-1</f>
        <v>3.9926018871327962E-3</v>
      </c>
      <c r="E98" s="5">
        <f>Data!E99/Data!E98-1</f>
        <v>1.6733893108473286E-2</v>
      </c>
      <c r="F98" s="5">
        <f>Data!F99/Data!F98-1</f>
        <v>1.0404372942418805E-2</v>
      </c>
      <c r="G98" s="5">
        <f>Data!G99/Data!G98-1</f>
        <v>5.9322949566142924E-3</v>
      </c>
      <c r="H98" s="5">
        <f>Data!H99/Data!H98-1</f>
        <v>-1.1817229369401883E-3</v>
      </c>
      <c r="I98" s="5">
        <f>Data!I99/Data!I98-1</f>
        <v>4.7802493616273534E-3</v>
      </c>
      <c r="J98" s="5">
        <f>Data!J99/Data!J98-1</f>
        <v>1.2107942866547372E-2</v>
      </c>
      <c r="K98" s="5">
        <f>Data!K99/Data!K98-1</f>
        <v>1.0272215395833006E-2</v>
      </c>
    </row>
    <row r="99" spans="1:11" ht="15" customHeight="1" x14ac:dyDescent="0.35">
      <c r="A99" s="4">
        <f>Data!A100</f>
        <v>45504</v>
      </c>
      <c r="B99" s="5">
        <f>Data!B100/Data!B99-1</f>
        <v>-1.2279892837781303E-2</v>
      </c>
      <c r="C99" s="5">
        <f>Data!C100/Data!C99-1</f>
        <v>6.0657454350467876E-2</v>
      </c>
      <c r="D99" s="5">
        <f>Data!D100/Data!D99-1</f>
        <v>4.5089289979838298E-3</v>
      </c>
      <c r="E99" s="5">
        <f>Data!E100/Data!E99-1</f>
        <v>3.6049264506260226E-2</v>
      </c>
      <c r="F99" s="5">
        <f>Data!F100/Data!F99-1</f>
        <v>2.3167245566040773E-2</v>
      </c>
      <c r="G99" s="5">
        <f>Data!G100/Data!G99-1</f>
        <v>2.6400533753064837E-2</v>
      </c>
      <c r="H99" s="5">
        <f>Data!H100/Data!H99-1</f>
        <v>1.0340024456208408E-2</v>
      </c>
      <c r="I99" s="5">
        <f>Data!I100/Data!I99-1</f>
        <v>2.352242956446382E-2</v>
      </c>
      <c r="J99" s="5">
        <f>Data!J100/Data!J99-1</f>
        <v>2.6419833601323051E-2</v>
      </c>
      <c r="K99" s="5">
        <f>Data!K100/Data!K99-1</f>
        <v>2.0141740650028828E-2</v>
      </c>
    </row>
    <row r="100" spans="1:11" ht="15" customHeight="1" x14ac:dyDescent="0.35">
      <c r="A100" s="4">
        <f>Data!A101</f>
        <v>45534</v>
      </c>
      <c r="B100" s="5">
        <f>Data!B101/Data!B100-1</f>
        <v>2.667322481866119E-2</v>
      </c>
      <c r="C100" s="5">
        <f>Data!C101/Data!C100-1</f>
        <v>1.2964504431054236E-2</v>
      </c>
      <c r="D100" s="5">
        <f>Data!D101/Data!D100-1</f>
        <v>4.6190035470066171E-3</v>
      </c>
      <c r="E100" s="5">
        <f>Data!E101/Data!E100-1</f>
        <v>1.9948831809933898E-2</v>
      </c>
      <c r="F100" s="5">
        <f>Data!F101/Data!F100-1</f>
        <v>1.2278177169860571E-2</v>
      </c>
      <c r="G100" s="5">
        <f>Data!G101/Data!G100-1</f>
        <v>1.8697256322533162E-2</v>
      </c>
      <c r="H100" s="5">
        <f>Data!H101/Data!H100-1</f>
        <v>2.5678102435557015E-2</v>
      </c>
      <c r="I100" s="5">
        <f>Data!I101/Data!I100-1</f>
        <v>1.5486078180045437E-2</v>
      </c>
      <c r="J100" s="5">
        <f>Data!J101/Data!J100-1</f>
        <v>1.7383734844322429E-2</v>
      </c>
      <c r="K100" s="5">
        <f>Data!K101/Data!K100-1</f>
        <v>7.7381127848363818E-3</v>
      </c>
    </row>
    <row r="101" spans="1:11" ht="15" customHeight="1" x14ac:dyDescent="0.35">
      <c r="A101" s="4">
        <f>Data!A102</f>
        <v>45565</v>
      </c>
      <c r="B101" s="5">
        <f>Data!B102/Data!B101-1</f>
        <v>4.0425075500744478E-2</v>
      </c>
      <c r="C101" s="5">
        <f>Data!C102/Data!C101-1</f>
        <v>-1.0927547852127573E-3</v>
      </c>
      <c r="D101" s="5">
        <f>Data!D102/Data!D101-1</f>
        <v>4.2218782103173869E-3</v>
      </c>
      <c r="E101" s="5">
        <f>Data!E102/Data!E101-1</f>
        <v>2.0323878139606899E-2</v>
      </c>
      <c r="F101" s="5">
        <f>Data!F102/Data!F101-1</f>
        <v>1.0772983849427487E-2</v>
      </c>
      <c r="G101" s="5">
        <f>Data!G102/Data!G101-1</f>
        <v>1.9619748026435291E-2</v>
      </c>
      <c r="H101" s="5">
        <f>Data!H102/Data!H101-1</f>
        <v>3.2104277348273813E-2</v>
      </c>
      <c r="I101" s="5">
        <f>Data!I102/Data!I101-1</f>
        <v>1.698142577089512E-2</v>
      </c>
      <c r="J101" s="5">
        <f>Data!J102/Data!J101-1</f>
        <v>9.3372638247082307E-3</v>
      </c>
      <c r="K101" s="5">
        <f>Data!K102/Data!K101-1</f>
        <v>2.217801894565441E-2</v>
      </c>
    </row>
    <row r="102" spans="1:11" ht="15" customHeight="1" x14ac:dyDescent="0.35">
      <c r="A102" s="4">
        <f>Data!A103</f>
        <v>45596</v>
      </c>
      <c r="B102" s="5">
        <f>Data!B103/Data!B102-1</f>
        <v>6.0843259274356853E-4</v>
      </c>
      <c r="C102" s="5">
        <f>Data!C103/Data!C102-1</f>
        <v>-3.0043957652813313E-3</v>
      </c>
      <c r="D102" s="5">
        <f>Data!D103/Data!D102-1</f>
        <v>3.9495617674125683E-3</v>
      </c>
      <c r="E102" s="5">
        <f>Data!E103/Data!E102-1</f>
        <v>-5.2200517131678947E-2</v>
      </c>
      <c r="F102" s="5">
        <f>Data!F103/Data!F102-1</f>
        <v>-2.3917741291428762E-2</v>
      </c>
      <c r="G102" s="5">
        <f>Data!G103/Data!G102-1</f>
        <v>-3.1808370889053417E-2</v>
      </c>
      <c r="H102" s="5">
        <f>Data!H103/Data!H102-1</f>
        <v>-6.8155713806081764E-3</v>
      </c>
      <c r="I102" s="5">
        <f>Data!I103/Data!I102-1</f>
        <v>-9.6298614357729351E-3</v>
      </c>
      <c r="J102" s="5">
        <f>Data!J103/Data!J102-1</f>
        <v>-2.7850311754771484E-2</v>
      </c>
      <c r="K102" s="5">
        <f>Data!K103/Data!K102-1</f>
        <v>-2.4676224908026567E-2</v>
      </c>
    </row>
    <row r="103" spans="1:11" ht="15" customHeight="1" x14ac:dyDescent="0.35">
      <c r="A103" s="4">
        <f>Data!A104</f>
        <v>45625</v>
      </c>
      <c r="B103" s="5">
        <f>Data!B104/Data!B103-1</f>
        <v>9.7678695667281046E-2</v>
      </c>
      <c r="C103" s="5">
        <f>Data!C104/Data!C103-1</f>
        <v>9.1889410670147109E-2</v>
      </c>
      <c r="D103" s="5">
        <f>Data!D104/Data!D103-1</f>
        <v>3.7011193514728813E-3</v>
      </c>
      <c r="E103" s="5">
        <f>Data!E104/Data!E103-1</f>
        <v>1.7953808578406782E-2</v>
      </c>
      <c r="F103" s="5">
        <f>Data!F104/Data!F103-1</f>
        <v>7.4660538205619797E-3</v>
      </c>
      <c r="G103" s="5">
        <f>Data!G104/Data!G103-1</f>
        <v>1.7930579041634642E-2</v>
      </c>
      <c r="H103" s="5">
        <f>Data!H104/Data!H103-1</f>
        <v>8.4476019165453664E-3</v>
      </c>
      <c r="I103" s="5">
        <f>Data!I104/Data!I103-1</f>
        <v>1.6440200758966794E-2</v>
      </c>
      <c r="J103" s="5">
        <f>Data!J104/Data!J103-1</f>
        <v>1.5144583032259407E-2</v>
      </c>
      <c r="K103" s="5">
        <f>Data!K104/Data!K103-1</f>
        <v>3.9415451574253968E-3</v>
      </c>
    </row>
    <row r="104" spans="1:11" ht="15" customHeight="1" x14ac:dyDescent="0.35">
      <c r="A104" s="4">
        <f>Data!A105</f>
        <v>45657</v>
      </c>
      <c r="B104" s="5">
        <f>Data!B105/Data!B104-1</f>
        <v>-4.0585077641786316E-2</v>
      </c>
      <c r="C104" s="5">
        <f>Data!C105/Data!C104-1</f>
        <v>-6.1930360966929832E-2</v>
      </c>
      <c r="D104" s="5">
        <f>Data!D105/Data!D104-1</f>
        <v>4.0224410856006809E-3</v>
      </c>
      <c r="E104" s="5">
        <f>Data!E105/Data!E104-1</f>
        <v>-5.4104111126701215E-2</v>
      </c>
      <c r="F104" s="5">
        <f>Data!F105/Data!F104-1</f>
        <v>-1.2122297862176001E-2</v>
      </c>
      <c r="G104" s="5">
        <f>Data!G105/Data!G104-1</f>
        <v>-2.6712407314571807E-2</v>
      </c>
      <c r="H104" s="5">
        <f>Data!H105/Data!H104-1</f>
        <v>-3.5640374664123842E-2</v>
      </c>
      <c r="I104" s="5">
        <f>Data!I105/Data!I104-1</f>
        <v>-7.7401454843255557E-3</v>
      </c>
      <c r="J104" s="5">
        <f>Data!J105/Data!J104-1</f>
        <v>-1.7593708241136374E-2</v>
      </c>
      <c r="K104" s="5">
        <f>Data!K105/Data!K104-1</f>
        <v>-3.3935016878204882E-3</v>
      </c>
    </row>
    <row r="105" spans="1:11" ht="15" customHeight="1" x14ac:dyDescent="0.35">
      <c r="A105" s="4">
        <f>Data!A106</f>
        <v>45688</v>
      </c>
      <c r="B105" s="5">
        <f>Data!B106/Data!B105-1</f>
        <v>5.8148764680674647E-2</v>
      </c>
      <c r="C105" s="5">
        <f>Data!C106/Data!C105-1</f>
        <v>3.2161041312528837E-2</v>
      </c>
      <c r="D105" s="5">
        <f>Data!D106/Data!D105-1</f>
        <v>3.5002930889713735E-3</v>
      </c>
      <c r="E105" s="5">
        <f>Data!E106/Data!E105-1</f>
        <v>5.3431038063309622E-3</v>
      </c>
      <c r="F105" s="5">
        <f>Data!F106/Data!F105-1</f>
        <v>6.4559027987667328E-3</v>
      </c>
      <c r="G105" s="5">
        <f>Data!G106/Data!G105-1</f>
        <v>5.8031337865060983E-3</v>
      </c>
      <c r="H105" s="5">
        <f>Data!H106/Data!H105-1</f>
        <v>1.1767288693743216E-2</v>
      </c>
      <c r="I105" s="5">
        <f>Data!I106/Data!I105-1</f>
        <v>1.3605209957177955E-2</v>
      </c>
      <c r="J105" s="5">
        <f>Data!J106/Data!J105-1</f>
        <v>5.5627455179354524E-3</v>
      </c>
      <c r="K105" s="5">
        <f>Data!K106/Data!K105-1</f>
        <v>1.080494564128287E-2</v>
      </c>
    </row>
    <row r="106" spans="1:11" ht="15" customHeight="1" x14ac:dyDescent="0.35">
      <c r="A106" s="4">
        <f>Data!A107</f>
        <v>45716</v>
      </c>
      <c r="B106" s="5">
        <f>Data!B107/Data!B106-1</f>
        <v>-3.5584099730905816E-2</v>
      </c>
      <c r="C106" s="5">
        <f>Data!C107/Data!C106-1</f>
        <v>4.4098563202754626E-4</v>
      </c>
      <c r="D106" s="5">
        <f>Data!D107/Data!D106-1</f>
        <v>3.2345569177079092E-3</v>
      </c>
      <c r="E106" s="5">
        <f>Data!E107/Data!E106-1</f>
        <v>5.1526982243981001E-2</v>
      </c>
      <c r="F106" s="5">
        <f>Data!F107/Data!F106-1</f>
        <v>1.9486720561208148E-2</v>
      </c>
      <c r="G106" s="5">
        <f>Data!G107/Data!G106-1</f>
        <v>2.3707183648168373E-2</v>
      </c>
      <c r="H106" s="5">
        <f>Data!H107/Data!H106-1</f>
        <v>6.8458968016318344E-3</v>
      </c>
      <c r="I106" s="5">
        <f>Data!I107/Data!I106-1</f>
        <v>9.7097696418149138E-3</v>
      </c>
      <c r="J106" s="5">
        <f>Data!J107/Data!J106-1</f>
        <v>2.4296234942167816E-2</v>
      </c>
      <c r="K106" s="5">
        <f>Data!K107/Data!K106-1</f>
        <v>1.3242535358826579E-2</v>
      </c>
    </row>
    <row r="107" spans="1:11" ht="15" customHeight="1" x14ac:dyDescent="0.35">
      <c r="A107" s="4">
        <f>Data!A108</f>
        <v>45747</v>
      </c>
      <c r="B107" s="5">
        <f>Data!B108/Data!B107-1</f>
        <v>-9.021930860046401E-2</v>
      </c>
      <c r="C107" s="5">
        <f>Data!C108/Data!C107-1</f>
        <v>-1.1728542495577088E-3</v>
      </c>
      <c r="D107" s="5">
        <f>Data!D108/Data!D107-1</f>
        <v>3.273189100724716E-3</v>
      </c>
      <c r="E107" s="5">
        <f>Data!E108/Data!E107-1</f>
        <v>-8.9916145617008336E-3</v>
      </c>
      <c r="F107" s="5">
        <f>Data!F108/Data!F107-1</f>
        <v>5.4170287347008461E-3</v>
      </c>
      <c r="G107" s="5">
        <f>Data!G108/Data!G107-1</f>
        <v>-4.6394806397318522E-3</v>
      </c>
      <c r="H107" s="5">
        <f>Data!H108/Data!H107-1</f>
        <v>-2.9871519958047377E-2</v>
      </c>
      <c r="I107" s="5">
        <f>Data!I108/Data!I107-1</f>
        <v>-1.0844573710636407E-2</v>
      </c>
      <c r="J107" s="5">
        <f>Data!J108/Data!J107-1</f>
        <v>2.1284166634472079E-4</v>
      </c>
      <c r="K107" s="5">
        <f>Data!K108/Data!K107-1</f>
        <v>-1.4730187817847407E-3</v>
      </c>
    </row>
    <row r="108" spans="1:11" ht="15" customHeight="1" x14ac:dyDescent="0.35">
      <c r="A108" s="4">
        <f>Data!A109</f>
        <v>45777</v>
      </c>
      <c r="B108" s="5">
        <f>Data!B109/Data!B108-1</f>
        <v>2.5678374455013087E-2</v>
      </c>
      <c r="C108" s="5">
        <f>Data!C109/Data!C108-1</f>
        <v>-4.117100425950504E-2</v>
      </c>
      <c r="D108" s="5">
        <f>Data!D109/Data!D108-1</f>
        <v>3.4055219093804823E-3</v>
      </c>
      <c r="E108" s="5">
        <f>Data!E109/Data!E108-1</f>
        <v>-9.8462880315354218E-3</v>
      </c>
      <c r="F108" s="5">
        <f>Data!F109/Data!F108-1</f>
        <v>1.2759137945178356E-2</v>
      </c>
      <c r="G108" s="5">
        <f>Data!G109/Data!G108-1</f>
        <v>-2.7211134622850963E-3</v>
      </c>
      <c r="H108" s="5">
        <f>Data!H109/Data!H108-1</f>
        <v>-1.234577043050078E-2</v>
      </c>
      <c r="I108" s="5">
        <f>Data!I109/Data!I108-1</f>
        <v>1.1659596724822308E-3</v>
      </c>
      <c r="J108" s="5">
        <f>Data!J109/Data!J108-1</f>
        <v>3.6347921250552417E-3</v>
      </c>
      <c r="K108" s="5">
        <f>Data!K109/Data!K108-1</f>
        <v>1.3805628350445742E-2</v>
      </c>
    </row>
    <row r="109" spans="1:11" ht="15" customHeight="1" x14ac:dyDescent="0.35">
      <c r="A109" s="4">
        <f>Data!A110</f>
        <v>45807</v>
      </c>
      <c r="B109" s="5">
        <f>Data!B110/Data!B109-1</f>
        <v>9.3858763856407013E-2</v>
      </c>
      <c r="C109" s="5">
        <f>Data!C110/Data!C109-1</f>
        <v>2.5803855016661492E-2</v>
      </c>
      <c r="D109" s="5">
        <f>Data!D110/Data!D109-1</f>
        <v>3.6266033053213853E-3</v>
      </c>
      <c r="E109" s="5">
        <f>Data!E110/Data!E109-1</f>
        <v>-2.9821164532633837E-2</v>
      </c>
      <c r="F109" s="5">
        <f>Data!F110/Data!F109-1</f>
        <v>-8.3372145834720301E-3</v>
      </c>
      <c r="G109" s="5">
        <f>Data!G110/Data!G109-1</f>
        <v>2.0776941678981586E-3</v>
      </c>
      <c r="H109" s="5">
        <f>Data!H110/Data!H109-1</f>
        <v>7.4824372652366744E-3</v>
      </c>
      <c r="I109" s="5">
        <f>Data!I110/Data!I109-1</f>
        <v>1.7529652063987156E-2</v>
      </c>
      <c r="J109" s="5">
        <f>Data!J110/Data!J109-1</f>
        <v>-8.7020588596455895E-3</v>
      </c>
      <c r="K109" s="5">
        <f>Data!K110/Data!K109-1</f>
        <v>-2.86463612207144E-3</v>
      </c>
    </row>
    <row r="110" spans="1:11" ht="15" customHeight="1" x14ac:dyDescent="0.35">
      <c r="A110" s="4">
        <f>Data!A111</f>
        <v>45838</v>
      </c>
      <c r="B110" s="5">
        <f>Data!B111/Data!B110-1</f>
        <v>6.8621099491846804E-2</v>
      </c>
      <c r="C110" s="5">
        <f>Data!C111/Data!C110-1</f>
        <v>3.9784317136035252E-2</v>
      </c>
      <c r="D110" s="5">
        <f>Data!D111/Data!D110-1</f>
        <v>3.3505487588676441E-3</v>
      </c>
      <c r="E110" s="5">
        <f>Data!E111/Data!E110-1</f>
        <v>2.5605499610876326E-2</v>
      </c>
      <c r="F110" s="5">
        <f>Data!F111/Data!F110-1</f>
        <v>1.2047946743991345E-2</v>
      </c>
      <c r="G110" s="5">
        <f>Data!G111/Data!G110-1</f>
        <v>2.0837729582831033E-2</v>
      </c>
      <c r="H110" s="5">
        <f>Data!H111/Data!H110-1</f>
        <v>2.0784806923803911E-2</v>
      </c>
      <c r="I110" s="5">
        <f>Data!I111/Data!I110-1</f>
        <v>1.838102243471873E-2</v>
      </c>
      <c r="J110" s="5">
        <f>Data!J111/Data!J110-1</f>
        <v>1.6963961285634044E-2</v>
      </c>
      <c r="K110" s="5">
        <f>Data!K111/Data!K110-1</f>
        <v>1.2882983115806601E-2</v>
      </c>
    </row>
    <row r="111" spans="1:11" ht="15" customHeight="1" x14ac:dyDescent="0.35">
      <c r="A111" s="4">
        <f>Data!A112</f>
        <v>45869</v>
      </c>
      <c r="B111" s="5">
        <f>Data!B112/Data!B111-1</f>
        <v>2.3669954457128606E-2</v>
      </c>
      <c r="C111" s="5">
        <f>Data!C112/Data!C111-1</f>
        <v>-1.8178672992989364E-2</v>
      </c>
      <c r="D111" s="5">
        <f>Data!D112/Data!D111-1</f>
        <v>3.5694718387027091E-3</v>
      </c>
      <c r="E111" s="5">
        <f>Data!E112/Data!E111-1</f>
        <v>-9.0713115460894223E-3</v>
      </c>
      <c r="F111" s="5">
        <f>Data!F112/Data!F111-1</f>
        <v>-3.8538366861041728E-3</v>
      </c>
      <c r="G111" s="5">
        <f>Data!G112/Data!G111-1</f>
        <v>-9.0219405092850646E-4</v>
      </c>
      <c r="H111" s="5">
        <f>Data!H112/Data!H111-1</f>
        <v>2.4347524969016376E-2</v>
      </c>
      <c r="I111" s="5">
        <f>Data!I112/Data!I111-1</f>
        <v>1.3687360462957265E-3</v>
      </c>
      <c r="J111" s="5">
        <f>Data!J112/Data!J111-1</f>
        <v>-5.2100673833216371E-3</v>
      </c>
      <c r="K111" s="5">
        <f>Data!K112/Data!K111-1</f>
        <v>-1.6616542172256388E-3</v>
      </c>
    </row>
    <row r="112" spans="1:11" ht="15" customHeight="1" x14ac:dyDescent="0.35">
      <c r="A112" s="4">
        <f>Data!A113</f>
        <v>45898</v>
      </c>
      <c r="B112" s="5">
        <f>Data!B113/Data!B112-1</f>
        <v>2.364215036501971E-3</v>
      </c>
      <c r="C112" s="5">
        <f>Data!C113/Data!C112-1</f>
        <v>6.3582662301328252E-2</v>
      </c>
      <c r="D112" s="5">
        <f>Data!D113/Data!D112-1</f>
        <v>3.7096382352057589E-3</v>
      </c>
      <c r="E112" s="5">
        <f>Data!E113/Data!E112-1</f>
        <v>2.346600764603135E-3</v>
      </c>
      <c r="F112" s="5">
        <f>Data!F113/Data!F112-1</f>
        <v>1.51509013570994E-2</v>
      </c>
      <c r="G112" s="5">
        <f>Data!G113/Data!G112-1</f>
        <v>1.0401036429731558E-2</v>
      </c>
      <c r="H112" s="5">
        <f>Data!H113/Data!H112-1</f>
        <v>1.1977816486044679E-2</v>
      </c>
      <c r="I112" s="5">
        <f>Data!I113/Data!I112-1</f>
        <v>1.1059706401689517E-2</v>
      </c>
      <c r="J112" s="5">
        <f>Data!J113/Data!J112-1</f>
        <v>1.7342205925328535E-2</v>
      </c>
      <c r="K112" s="5">
        <f>Data!K113/Data!K112-1</f>
        <v>1.2500292208551089E-2</v>
      </c>
    </row>
    <row r="113" spans="1:11" ht="15" customHeight="1" x14ac:dyDescent="0.35">
      <c r="A113" s="4">
        <f>Data!A114</f>
        <v>45930</v>
      </c>
      <c r="B113" s="5">
        <f>Data!B114/Data!B113-1</f>
        <v>1.7145979985496052E-2</v>
      </c>
      <c r="C113" s="5">
        <f>Data!C114/Data!C113-1</f>
        <v>2.1454199911529193E-2</v>
      </c>
      <c r="D113" s="5">
        <f>Data!D114/Data!D113-1</f>
        <v>3.3015866108969671E-3</v>
      </c>
      <c r="E113" s="5">
        <f>Data!E114/Data!E113-1</f>
        <v>3.1502215225588381E-2</v>
      </c>
      <c r="F113" s="5">
        <f>Data!F114/Data!F113-1</f>
        <v>2.8589671233032465E-3</v>
      </c>
      <c r="G113" s="5">
        <f>Data!G114/Data!G113-1</f>
        <v>1.8788390276451405E-2</v>
      </c>
      <c r="H113" s="5">
        <f>Data!H114/Data!H113-1</f>
        <v>1.0246654629015861E-2</v>
      </c>
      <c r="I113" s="5">
        <f>Data!I114/Data!I113-1</f>
        <v>8.8684092438062745E-3</v>
      </c>
      <c r="J113" s="5">
        <f>Data!J114/Data!J113-1</f>
        <v>1.2122369494764973E-2</v>
      </c>
      <c r="K113" s="5">
        <f>Data!K114/Data!K113-1</f>
        <v>5.1178569339651592E-3</v>
      </c>
    </row>
    <row r="114" spans="1:11" ht="15" customHeight="1" x14ac:dyDescent="0.35">
      <c r="A114" s="4">
        <f>Data!A115</f>
        <v>45961</v>
      </c>
      <c r="B114" s="5">
        <f>Data!B115/Data!B114-1</f>
        <v>-2.8951316414738137E-3</v>
      </c>
      <c r="C114" s="5">
        <f>Data!C115/Data!C114-1</f>
        <v>-3.0314452294836203E-3</v>
      </c>
      <c r="D114" s="5">
        <f>Data!D115/Data!D114-1</f>
        <v>3.5048628956184658E-3</v>
      </c>
      <c r="E114" s="5">
        <f>Data!E115/Data!E114-1</f>
        <v>1.2632943282208542E-2</v>
      </c>
      <c r="F114" s="5">
        <f>Data!F115/Data!F114-1</f>
        <v>5.175809839439216E-3</v>
      </c>
      <c r="G114" s="5">
        <f>Data!G115/Data!G114-1</f>
        <v>1.4802106357267864E-3</v>
      </c>
      <c r="H114" s="5">
        <f>Data!H115/Data!H114-1</f>
        <v>-7.6575141968572291E-3</v>
      </c>
      <c r="I114" s="5">
        <f>Data!I115/Data!I114-1</f>
        <v>-1.1597088847847825E-4</v>
      </c>
      <c r="J114" s="5">
        <f>Data!J115/Data!J114-1</f>
        <v>7.7540889123901557E-3</v>
      </c>
      <c r="K114" s="5">
        <f>Data!K115/Data!K114-1</f>
        <v>2.5619782821422188E-3</v>
      </c>
    </row>
    <row r="115" spans="1:11" ht="15" customHeight="1" x14ac:dyDescent="0.35">
      <c r="A115" s="4">
        <f>Data!A116</f>
        <v>45989</v>
      </c>
      <c r="B115" s="5">
        <f>Data!B116/Data!B115-1</f>
        <v>-2.9184412900490897E-2</v>
      </c>
      <c r="C115" s="5">
        <f>Data!C116/Data!C115-1</f>
        <v>3.606027698454195E-2</v>
      </c>
      <c r="D115" s="5">
        <f>Data!D116/Data!D115-1</f>
        <v>2.8785541860587571E-3</v>
      </c>
      <c r="E115" s="5">
        <f>Data!E116/Data!E115-1</f>
        <v>4.1639885635764706E-3</v>
      </c>
      <c r="F115" s="5">
        <f>Data!F116/Data!F115-1</f>
        <v>8.047504594938415E-3</v>
      </c>
      <c r="G115" s="5">
        <f>Data!G116/Data!G115-1</f>
        <v>9.3257990013968506E-3</v>
      </c>
      <c r="H115" s="5">
        <f>Data!H116/Data!H115-1</f>
        <v>-2.8726812919700473E-3</v>
      </c>
      <c r="I115" s="5">
        <f>Data!I116/Data!I115-1</f>
        <v>7.4767465544163247E-3</v>
      </c>
      <c r="J115" s="5">
        <f>Data!J116/Data!J115-1</f>
        <v>5.9063232587044379E-3</v>
      </c>
      <c r="K115" s="5">
        <f>Data!K116/Data!K115-1</f>
        <v>1.030115292263134E-2</v>
      </c>
    </row>
    <row r="116" spans="1:11" ht="15" customHeight="1" x14ac:dyDescent="0.35">
      <c r="A116" s="4">
        <f>Data!A117</f>
        <v>46022</v>
      </c>
      <c r="B116" s="5">
        <f>Data!B117/Data!B116-1</f>
        <v>1.1533108177259166E-2</v>
      </c>
      <c r="C116" s="5">
        <f>Data!C117/Data!C116-1</f>
        <v>1.3014366615035522E-2</v>
      </c>
      <c r="D116" s="5">
        <f>Data!D117/Data!D116-1</f>
        <v>3.3578015916337911E-3</v>
      </c>
      <c r="E116" s="5">
        <f>Data!E117/Data!E116-1</f>
        <v>-2.0912940916803513E-2</v>
      </c>
      <c r="F116" s="5">
        <f>Data!F117/Data!F116-1</f>
        <v>-2.6844620977514166E-3</v>
      </c>
      <c r="G116" s="5">
        <f>Data!G117/Data!G116-1</f>
        <v>-7.3366989810140781E-3</v>
      </c>
      <c r="H116" s="5">
        <f>Data!H117/Data!H116-1</f>
        <v>8.1803007944618589E-3</v>
      </c>
      <c r="I116" s="5">
        <f>Data!I117/Data!I116-1</f>
        <v>4.9285531772707003E-3</v>
      </c>
      <c r="J116" s="5">
        <f>Data!J117/Data!J116-1</f>
        <v>1.3904877499437696E-3</v>
      </c>
      <c r="K116" s="5">
        <f>Data!K117/Data!K116-1</f>
        <v>-8.5421240104743834E-4</v>
      </c>
    </row>
    <row r="117" spans="1:11" ht="15" customHeight="1" x14ac:dyDescent="0.35">
      <c r="A117" s="4">
        <f>Data!A118</f>
        <v>46052</v>
      </c>
      <c r="B117" s="5">
        <f>Data!B118/Data!B117-1</f>
        <v>4.6385509865242591E-2</v>
      </c>
      <c r="C117" s="5">
        <f>Data!C118/Data!C117-1</f>
        <v>3.9385011835047612E-2</v>
      </c>
      <c r="D117" s="5">
        <f>Data!D118/Data!D117-1</f>
        <v>2.9546406290825722E-3</v>
      </c>
      <c r="E117" s="5">
        <f>Data!E118/Data!E117-1</f>
        <v>-1.1327932370552851E-3</v>
      </c>
      <c r="F117" s="5">
        <f>Data!F118/Data!F117-1</f>
        <v>-3.4876623942803331E-4</v>
      </c>
      <c r="G117" s="5">
        <f>Data!G118/Data!G117-1</f>
        <v>3.4483490233423453E-3</v>
      </c>
      <c r="H117" s="5">
        <f>Data!H118/Data!H117-1</f>
        <v>2.3579408665554968E-2</v>
      </c>
      <c r="I117" s="5">
        <f>Data!I118/Data!I117-1</f>
        <v>6.0772141491516329E-3</v>
      </c>
      <c r="J117" s="5">
        <f>Data!J118/Data!J117-1</f>
        <v>4.9357030955916592E-3</v>
      </c>
      <c r="K117" s="5">
        <f>Data!K118/Data!K117-1</f>
        <v>4.6862965546565771E-3</v>
      </c>
    </row>
    <row r="118" spans="1:11" ht="15" customHeight="1" x14ac:dyDescent="0.35">
      <c r="A118" s="4">
        <f>Data!A119</f>
        <v>46080</v>
      </c>
      <c r="B118" s="5">
        <f>Data!B119/Data!B118-1</f>
        <v>2.1186117006618543E-2</v>
      </c>
      <c r="C118" s="5">
        <f>Data!C119/Data!C118-1</f>
        <v>4.7436532938964326E-2</v>
      </c>
      <c r="D118" s="5">
        <f>Data!D119/Data!D118-1</f>
        <v>2.6693645806010746E-3</v>
      </c>
      <c r="E118" s="5">
        <f>Data!E119/Data!E118-1</f>
        <v>4.2240170619483042E-2</v>
      </c>
      <c r="F118" s="5">
        <f>Data!F119/Data!F118-1</f>
        <v>1.6828214903704231E-2</v>
      </c>
      <c r="G118" s="5">
        <f>Data!G119/Data!G118-1</f>
        <v>1.3782064038526443E-2</v>
      </c>
      <c r="H118" s="5">
        <f>Data!H119/Data!H118-1</f>
        <v>-3.2519327524850317E-3</v>
      </c>
      <c r="I118" s="5">
        <f>Data!I119/Data!I118-1</f>
        <v>-1.9440704808970644E-5</v>
      </c>
      <c r="J118" s="5">
        <f>Data!J119/Data!J118-1</f>
        <v>1.6308850111829143E-2</v>
      </c>
      <c r="K118" s="5">
        <f>Data!K119/Data!K118-1</f>
        <v>1.4702692933309391E-2</v>
      </c>
    </row>
    <row r="119" spans="1:11" ht="15" customHeight="1" x14ac:dyDescent="0.35">
      <c r="A119" s="4">
        <f>Data!A120</f>
        <v>46112</v>
      </c>
      <c r="B119" s="5">
        <f>Data!B120/Data!B119-1</f>
        <v>-6.1065630426672457E-2</v>
      </c>
      <c r="C119" s="5">
        <f>Data!C120/Data!C119-1</f>
        <v>-3.8744942944841099E-2</v>
      </c>
      <c r="D119" s="5">
        <f>Data!D120/Data!D119-1</f>
        <v>2.8784775300794152E-3</v>
      </c>
      <c r="E119" s="5">
        <f>Data!E120/Data!E119-1</f>
        <v>-3.9277729356929081E-2</v>
      </c>
      <c r="F119" s="5">
        <f>Data!F120/Data!F119-1</f>
        <v>-1.6322814862367085E-2</v>
      </c>
      <c r="G119" s="5">
        <f>Data!G120/Data!G119-1</f>
        <v>-2.0718393025615289E-2</v>
      </c>
      <c r="H119" s="5">
        <f>Data!H120/Data!H119-1</f>
        <v>-3.3747135870866196E-2</v>
      </c>
      <c r="I119" s="5">
        <f>Data!I120/Data!I119-1</f>
        <v>-9.5365454167994912E-3</v>
      </c>
      <c r="J119" s="5">
        <f>Data!J120/Data!J119-1</f>
        <v>-1.6881382993365723E-2</v>
      </c>
      <c r="K119" s="5">
        <f>Data!K120/Data!K119-1</f>
        <v>-2.0334796844989511E-2</v>
      </c>
    </row>
    <row r="120" spans="1:11" ht="15" customHeight="1" x14ac:dyDescent="0.35">
      <c r="A120" s="4">
        <f>Data!A121</f>
        <v>46142</v>
      </c>
      <c r="B120" s="5">
        <f>Data!B121/Data!B120-1</f>
        <v>0.16254669486258178</v>
      </c>
      <c r="C120" s="5">
        <f>Data!C121/Data!C120-1</f>
        <v>3.6617489095762012E-2</v>
      </c>
      <c r="D120" s="5">
        <f>Data!D121/Data!D120-1</f>
        <v>2.8844114904449381E-3</v>
      </c>
      <c r="E120" s="5">
        <f>Data!E121/Data!E120-1</f>
        <v>-7.488695113189725E-3</v>
      </c>
      <c r="F120" s="5">
        <f>Data!F121/Data!F120-1</f>
        <v>-5.8509635805648053E-4</v>
      </c>
      <c r="G120" s="5">
        <f>Data!G121/Data!G120-1</f>
        <v>2.8188088465497252E-3</v>
      </c>
      <c r="H120" s="5">
        <f>Data!H121/Data!H120-1</f>
        <v>4.2117632068860544E-2</v>
      </c>
      <c r="I120" s="5">
        <f>Data!I121/Data!I120-1</f>
        <v>1.5191578911949E-2</v>
      </c>
      <c r="J120" s="5">
        <f>Data!J121/Data!J120-1</f>
        <v>1.7204702514981296E-3</v>
      </c>
      <c r="K120" s="5">
        <f>Data!K121/Data!K120-1</f>
        <v>6.098281572432418E-3</v>
      </c>
    </row>
    <row r="121" spans="1:11" ht="15" customHeight="1" x14ac:dyDescent="0.35">
      <c r="A121" s="4">
        <f>Data!A122</f>
        <v>46171</v>
      </c>
      <c r="B121" s="5">
        <f>Data!B122/Data!B121-1</f>
        <v>0.10622187511836945</v>
      </c>
      <c r="C121" s="5">
        <f>Data!C122/Data!C121-1</f>
        <v>1.7970316635377737E-2</v>
      </c>
      <c r="D121" s="5">
        <f>Data!D122/Data!D121-1</f>
        <v>3.1724855442236688E-3</v>
      </c>
      <c r="E121" s="5">
        <f>Data!E122/Data!E121-1</f>
        <v>4.624201977421194E-3</v>
      </c>
      <c r="F121" s="5">
        <f>Data!F122/Data!F121-1</f>
        <v>-6.9520868926431501E-4</v>
      </c>
      <c r="G121" s="5">
        <f>Data!G122/Data!G121-1</f>
        <v>8.6131778059976849E-3</v>
      </c>
      <c r="H121" s="5">
        <f>Data!H122/Data!H121-1</f>
        <v>7.9811983344768578E-3</v>
      </c>
      <c r="I121" s="5">
        <f>Data!I122/Data!I121-1</f>
        <v>4.35441604491138E-3</v>
      </c>
      <c r="J121" s="5">
        <f>Data!J122/Data!J121-1</f>
        <v>3.6470024621344521E-3</v>
      </c>
      <c r="K121" s="5">
        <f>Data!K122/Data!K121-1</f>
        <v>1.4682695652565858E-3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ColWidth="8.6328125" defaultRowHeight="14.5" x14ac:dyDescent="0.35"/>
  <cols>
    <col min="1" max="1" width="26" customWidth="1"/>
    <col min="2" max="11" width="22" customWidth="1"/>
  </cols>
  <sheetData>
    <row r="1" spans="1:11" ht="15.75" customHeight="1" x14ac:dyDescent="0.35">
      <c r="A1" s="6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35">
      <c r="A2" s="3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35">
      <c r="A4" s="1" t="s">
        <v>15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5" customHeight="1" x14ac:dyDescent="0.35">
      <c r="A5" s="7" t="s">
        <v>16</v>
      </c>
      <c r="B5" s="5">
        <f>AVERAGE('Monthly Returns'!B$2:B$121)</f>
        <v>1.32361922538368E-2</v>
      </c>
      <c r="C5" s="5">
        <f>AVERAGE('Monthly Returns'!C$2:C$121)</f>
        <v>1.0552213114511618E-2</v>
      </c>
      <c r="D5" s="5">
        <f>AVERAGE('Monthly Returns'!D$2:D$121)</f>
        <v>1.7978853334174316E-3</v>
      </c>
      <c r="E5" s="5">
        <f>AVERAGE('Monthly Returns'!E$2:E$121)</f>
        <v>-4.2819943665828311E-5</v>
      </c>
      <c r="F5" s="5">
        <f>AVERAGE('Monthly Returns'!F$2:F$121)</f>
        <v>1.2560704677737529E-3</v>
      </c>
      <c r="G5" s="5">
        <f>AVERAGE('Monthly Returns'!G$2:G$121)</f>
        <v>2.4709367441760046E-3</v>
      </c>
      <c r="H5" s="5">
        <f>AVERAGE('Monthly Returns'!H$2:H$121)</f>
        <v>3.2400354643711223E-3</v>
      </c>
      <c r="I5" s="5">
        <f>AVERAGE('Monthly Returns'!I$2:I$121)</f>
        <v>4.3002870903853874E-3</v>
      </c>
      <c r="J5" s="5">
        <f>AVERAGE('Monthly Returns'!J$2:J$121)</f>
        <v>1.2422204780215384E-3</v>
      </c>
      <c r="K5" s="5">
        <f>AVERAGE('Monthly Returns'!K$2:K$121)</f>
        <v>1.8559207248330647E-3</v>
      </c>
    </row>
    <row r="6" spans="1:11" ht="15" customHeight="1" x14ac:dyDescent="0.35">
      <c r="A6" s="7" t="s">
        <v>17</v>
      </c>
      <c r="B6" s="5">
        <f>STDEV('Monthly Returns'!B$2:B$121)</f>
        <v>5.5744169865475077E-2</v>
      </c>
      <c r="C6" s="5">
        <f>STDEV('Monthly Returns'!C$2:C$121)</f>
        <v>5.9824162226608905E-2</v>
      </c>
      <c r="D6" s="5">
        <f>STDEV('Monthly Returns'!D$2:D$121)</f>
        <v>1.6283213979451522E-3</v>
      </c>
      <c r="E6" s="5">
        <f>STDEV('Monthly Returns'!E$2:E$121)</f>
        <v>3.7550363243608414E-2</v>
      </c>
      <c r="F6" s="5">
        <f>STDEV('Monthly Returns'!F$2:F$121)</f>
        <v>1.2789152168428309E-2</v>
      </c>
      <c r="G6" s="5">
        <f>STDEV('Monthly Returns'!G$2:G$121)</f>
        <v>2.387915594194041E-2</v>
      </c>
      <c r="H6" s="5">
        <f>STDEV('Monthly Returns'!H$2:H$121)</f>
        <v>2.9196363429136878E-2</v>
      </c>
      <c r="I6" s="5">
        <f>STDEV('Monthly Returns'!I$2:I$121)</f>
        <v>2.1152447410262187E-2</v>
      </c>
      <c r="J6" s="5">
        <f>STDEV('Monthly Returns'!J$2:J$121)</f>
        <v>1.4908563888837843E-2</v>
      </c>
      <c r="K6" s="5">
        <f>STDEV('Monthly Returns'!K$2:K$121)</f>
        <v>1.2657862732865196E-2</v>
      </c>
    </row>
    <row r="7" spans="1:11" ht="15" customHeight="1" x14ac:dyDescent="0.35">
      <c r="A7" s="7" t="s">
        <v>18</v>
      </c>
      <c r="B7" s="8">
        <f>(Data!B$122/Data!B$2)^(1/10)-1</f>
        <v>0.14967884063209391</v>
      </c>
      <c r="C7" s="8">
        <f>(Data!C$122/Data!C$2)^(1/10)-1</f>
        <v>0.10965544877139166</v>
      </c>
      <c r="D7" s="8">
        <f>(Data!D$122/Data!D$2)^(1/10)-1</f>
        <v>2.1773189233656121E-2</v>
      </c>
      <c r="E7" s="8">
        <f>(Data!E$122/Data!E$2)^(1/10)-1</f>
        <v>-8.8251989867224045E-3</v>
      </c>
      <c r="F7" s="8">
        <f>(Data!F$122/Data!F$2)^(1/10)-1</f>
        <v>1.419171135244035E-2</v>
      </c>
      <c r="G7" s="8">
        <f>(Data!G$122/Data!G$2)^(1/10)-1</f>
        <v>2.6577191171789138E-2</v>
      </c>
      <c r="H7" s="8">
        <f>(Data!H$122/Data!H$2)^(1/10)-1</f>
        <v>3.4329908855435631E-2</v>
      </c>
      <c r="I7" s="8">
        <f>(Data!I$122/Data!I$2)^(1/10)-1</f>
        <v>5.0020851267288613E-2</v>
      </c>
      <c r="J7" s="8">
        <f>(Data!J$122/Data!J$2)^(1/10)-1</f>
        <v>1.3669532390860883E-2</v>
      </c>
      <c r="K7" s="8">
        <f>(Data!K$122/Data!K$2)^(1/10)-1</f>
        <v>2.1527439857730979E-2</v>
      </c>
    </row>
    <row r="8" spans="1:11" ht="15" customHeight="1" x14ac:dyDescent="0.35">
      <c r="A8" s="7" t="s">
        <v>19</v>
      </c>
      <c r="B8" s="8">
        <f t="shared" ref="B8:K8" si="0">B6*SQRT(12)</f>
        <v>0.19310346886550556</v>
      </c>
      <c r="C8" s="8">
        <f t="shared" si="0"/>
        <v>0.20723697699345894</v>
      </c>
      <c r="D8" s="8">
        <f t="shared" si="0"/>
        <v>5.6406707845851681E-3</v>
      </c>
      <c r="E8" s="8">
        <f t="shared" si="0"/>
        <v>0.13007827396119329</v>
      </c>
      <c r="F8" s="8">
        <f t="shared" si="0"/>
        <v>4.430292268289502E-2</v>
      </c>
      <c r="G8" s="8">
        <f t="shared" si="0"/>
        <v>8.2719822666602077E-2</v>
      </c>
      <c r="H8" s="8">
        <f t="shared" si="0"/>
        <v>0.10113916971102192</v>
      </c>
      <c r="I8" s="8">
        <f t="shared" si="0"/>
        <v>7.3274227238005654E-2</v>
      </c>
      <c r="J8" s="8">
        <f t="shared" si="0"/>
        <v>5.1644780246707572E-2</v>
      </c>
      <c r="K8" s="8">
        <f t="shared" si="0"/>
        <v>4.3848122737110314E-2</v>
      </c>
    </row>
    <row r="9" spans="1:11" ht="15" customHeight="1" x14ac:dyDescent="0.35">
      <c r="A9" s="7" t="s">
        <v>20</v>
      </c>
      <c r="B9" s="9">
        <f>Data!B$122/Data!B$2</f>
        <v>4.0342739341790308</v>
      </c>
      <c r="C9" s="9">
        <f>Data!C$122/Data!C$2</f>
        <v>2.83061953953364</v>
      </c>
      <c r="D9" s="9">
        <f>Data!D$122/Data!D$2</f>
        <v>1.2403522205206738</v>
      </c>
      <c r="E9" s="9">
        <f>Data!E$122/Data!E$2</f>
        <v>0.9151715755992863</v>
      </c>
      <c r="F9" s="9">
        <f>Data!F$122/Data!F$2</f>
        <v>1.1513319821645722</v>
      </c>
      <c r="G9" s="9">
        <f>Data!G$122/Data!G$2</f>
        <v>1.2999184485747017</v>
      </c>
      <c r="H9" s="9">
        <f>Data!H$122/Data!H$2</f>
        <v>1.4014926677008148</v>
      </c>
      <c r="I9" s="9">
        <f>Data!I$122/Data!I$2</f>
        <v>1.629218127278063</v>
      </c>
      <c r="J9" s="9">
        <f>Data!J$122/Data!J$2</f>
        <v>1.1454178112538769</v>
      </c>
      <c r="K9" s="9">
        <f>Data!K$122/Data!K$2</f>
        <v>1.2373722432165404</v>
      </c>
    </row>
    <row r="10" spans="1:11" ht="15" customHeight="1" x14ac:dyDescent="0.35">
      <c r="A10" s="7" t="s">
        <v>21</v>
      </c>
      <c r="B10" s="10">
        <f>(B7-$D$7)/B8</f>
        <v>0.66236848125976788</v>
      </c>
      <c r="C10" s="10">
        <f>(C7-$D$7)/C8</f>
        <v>0.42406650016183833</v>
      </c>
      <c r="D10" s="11" t="s">
        <v>22</v>
      </c>
      <c r="E10" s="10">
        <f t="shared" ref="E10:K10" si="1">(E7-$D$7)/E8</f>
        <v>-0.23523058300655997</v>
      </c>
      <c r="F10" s="10">
        <f t="shared" si="1"/>
        <v>-0.17112816541430831</v>
      </c>
      <c r="G10" s="10">
        <f t="shared" si="1"/>
        <v>5.8075583134350961E-2</v>
      </c>
      <c r="H10" s="10">
        <f t="shared" si="1"/>
        <v>0.12415288416601572</v>
      </c>
      <c r="I10" s="10">
        <f t="shared" si="1"/>
        <v>0.38550610628590948</v>
      </c>
      <c r="J10" s="10">
        <f t="shared" si="1"/>
        <v>-0.15691144011232105</v>
      </c>
      <c r="K10" s="10">
        <f t="shared" si="1"/>
        <v>-5.6045586580415847E-3</v>
      </c>
    </row>
    <row r="11" spans="1:11" ht="15" customHeight="1" x14ac:dyDescent="0.35">
      <c r="A11" s="7" t="s">
        <v>23</v>
      </c>
      <c r="B11" s="8">
        <f>MAX('Monthly Returns'!B$2:B$121)</f>
        <v>0.1656475856668842</v>
      </c>
      <c r="C11" s="8">
        <f>MAX('Monthly Returns'!C$2:C$121)</f>
        <v>0.18898824718817142</v>
      </c>
      <c r="D11" s="8">
        <f>MAX('Monthly Returns'!D$2:D$121)</f>
        <v>4.9622444459145321E-3</v>
      </c>
      <c r="E11" s="8">
        <f>MAX('Monthly Returns'!E$2:E$121)</f>
        <v>0.10826532688704726</v>
      </c>
      <c r="F11" s="8">
        <f>MAX('Monthly Returns'!F$2:F$121)</f>
        <v>3.101081652095572E-2</v>
      </c>
      <c r="G11" s="8">
        <f>MAX('Monthly Returns'!G$2:G$121)</f>
        <v>7.5692917203834087E-2</v>
      </c>
      <c r="H11" s="8">
        <f>MAX('Monthly Returns'!H$2:H$121)</f>
        <v>0.10055594237052112</v>
      </c>
      <c r="I11" s="8">
        <f>MAX('Monthly Returns'!I$2:I$121)</f>
        <v>6.6946561358881551E-2</v>
      </c>
      <c r="J11" s="8">
        <f>MAX('Monthly Returns'!J$2:J$121)</f>
        <v>5.2113773530105822E-2</v>
      </c>
      <c r="K11" s="8">
        <f>MAX('Monthly Returns'!K$2:K$121)</f>
        <v>3.1203193895301462E-2</v>
      </c>
    </row>
    <row r="12" spans="1:11" ht="15" customHeight="1" x14ac:dyDescent="0.35">
      <c r="A12" s="7" t="s">
        <v>24</v>
      </c>
      <c r="B12" s="8">
        <f>MIN('Monthly Returns'!B$2:B$121)</f>
        <v>-0.15562485993092379</v>
      </c>
      <c r="C12" s="8">
        <f>MIN('Monthly Returns'!C$2:C$121)</f>
        <v>-0.28736171541356204</v>
      </c>
      <c r="D12" s="8">
        <f>MIN('Monthly Returns'!D$2:D$121)</f>
        <v>-4.3725404459993289E-4</v>
      </c>
      <c r="E12" s="8">
        <f>MIN('Monthly Returns'!E$2:E$121)</f>
        <v>-9.0727418966018325E-2</v>
      </c>
      <c r="F12" s="8">
        <f>MIN('Monthly Returns'!F$2:F$121)</f>
        <v>-3.3491596516268318E-2</v>
      </c>
      <c r="G12" s="8">
        <f>MIN('Monthly Returns'!G$2:G$121)</f>
        <v>-6.7000454499780759E-2</v>
      </c>
      <c r="H12" s="8">
        <f>MIN('Monthly Returns'!H$2:H$121)</f>
        <v>-0.11903160023735693</v>
      </c>
      <c r="I12" s="8">
        <f>MIN('Monthly Returns'!I$2:I$121)</f>
        <v>-0.10031097433542346</v>
      </c>
      <c r="J12" s="8">
        <f>MIN('Monthly Returns'!J$2:J$121)</f>
        <v>-5.0908554010454132E-2</v>
      </c>
      <c r="K12" s="8">
        <f>MIN('Monthly Returns'!K$2:K$121)</f>
        <v>-3.168904016052343E-2</v>
      </c>
    </row>
    <row r="13" spans="1:11" ht="15" customHeight="1" x14ac:dyDescent="0.35">
      <c r="A13" s="7" t="s">
        <v>25</v>
      </c>
      <c r="B13" s="8">
        <f>Data!B81/Data!B69-1</f>
        <v>-0.27271785593705788</v>
      </c>
      <c r="C13" s="8">
        <f>Data!C81/Data!C69-1</f>
        <v>-8.4158629095916204E-3</v>
      </c>
      <c r="D13" s="8">
        <f>Data!D81/Data!D69-1</f>
        <v>1.3798282254658067E-2</v>
      </c>
      <c r="E13" s="8">
        <f>Data!E81/Data!E69-1</f>
        <v>-0.29448164976713731</v>
      </c>
      <c r="F13" s="8">
        <f>Data!F81/Data!F69-1</f>
        <v>-0.10648717253968032</v>
      </c>
      <c r="G13" s="8">
        <f>Data!G81/Data!G69-1</f>
        <v>-0.17933678866410874</v>
      </c>
      <c r="H13" s="8">
        <f>Data!H81/Data!H69-1</f>
        <v>-0.18184144612186448</v>
      </c>
      <c r="I13" s="8">
        <f>Data!I81/Data!I69-1</f>
        <v>-0.10993149404129876</v>
      </c>
      <c r="J13" s="8">
        <f>Data!J81/Data!J69-1</f>
        <v>-0.11740964698102652</v>
      </c>
      <c r="K13" s="8">
        <f>Data!K81/Data!K69-1</f>
        <v>-0.11209463367481942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zoomScaleNormal="100" workbookViewId="0"/>
  </sheetViews>
  <sheetFormatPr defaultColWidth="8.6328125" defaultRowHeight="14.5" x14ac:dyDescent="0.35"/>
  <cols>
    <col min="1" max="1" width="16" customWidth="1"/>
    <col min="2" max="11" width="22" customWidth="1"/>
  </cols>
  <sheetData>
    <row r="1" spans="1:11" ht="15.75" customHeight="1" x14ac:dyDescent="0.35">
      <c r="A1" s="6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35">
      <c r="A3" s="1" t="s">
        <v>27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5" customHeight="1" x14ac:dyDescent="0.35">
      <c r="A4" s="7" t="s">
        <v>28</v>
      </c>
      <c r="B4" s="8">
        <f>Data!B9/Data!B2-1</f>
        <v>2.731644047958004E-2</v>
      </c>
      <c r="C4" s="8">
        <f>Data!C9/Data!C2-1</f>
        <v>0.12614857379849265</v>
      </c>
      <c r="D4" s="8">
        <f>Data!D9/Data!D2-1</f>
        <v>4.4629183986000243E-4</v>
      </c>
      <c r="E4" s="8">
        <f>Data!E9/Data!E2-1</f>
        <v>-6.8482842440071301E-2</v>
      </c>
      <c r="F4" s="8">
        <f>Data!F9/Data!F2-1</f>
        <v>-1.1109850020267431E-2</v>
      </c>
      <c r="G4" s="8">
        <f>Data!G9/Data!G2-1</f>
        <v>2.7387754083407767E-3</v>
      </c>
      <c r="H4" s="8">
        <f>Data!H9/Data!H2-1</f>
        <v>-2.5133577467848167E-2</v>
      </c>
      <c r="I4" s="8">
        <f>Data!I9/Data!I2-1</f>
        <v>7.205232348440882E-2</v>
      </c>
      <c r="J4" s="8">
        <f>Data!J9/Data!J2-1</f>
        <v>-9.5294638901195494E-3</v>
      </c>
      <c r="K4" s="8">
        <f>Data!K9/Data!K2-1</f>
        <v>-9.7888722050731847E-3</v>
      </c>
    </row>
    <row r="5" spans="1:11" ht="15" customHeight="1" x14ac:dyDescent="0.35">
      <c r="A5" s="7" t="s">
        <v>29</v>
      </c>
      <c r="B5" s="8">
        <f>Data!B21/Data!B9-1</f>
        <v>0.26757917750850679</v>
      </c>
      <c r="C5" s="8">
        <f>Data!C21/Data!C9-1</f>
        <v>0.17726597843826686</v>
      </c>
      <c r="D5" s="8">
        <f>Data!D21/Data!D9-1</f>
        <v>6.8630495250423529E-3</v>
      </c>
      <c r="E5" s="8">
        <f>Data!E21/Data!E9-1</f>
        <v>9.0193128221926822E-2</v>
      </c>
      <c r="F5" s="8">
        <f>Data!F21/Data!F9-1</f>
        <v>1.0372226175524357E-2</v>
      </c>
      <c r="G5" s="8">
        <f>Data!G21/Data!G9-1</f>
        <v>7.0554440040367483E-2</v>
      </c>
      <c r="H5" s="8">
        <f>Data!H21/Data!H9-1</f>
        <v>8.0989701907520528E-2</v>
      </c>
      <c r="I5" s="8">
        <f>Data!I21/Data!I9-1</f>
        <v>6.0682555985451581E-2</v>
      </c>
      <c r="J5" s="8">
        <f>Data!J21/Data!J9-1</f>
        <v>2.4875061060384063E-2</v>
      </c>
      <c r="K5" s="8">
        <f>Data!K21/Data!K9-1</f>
        <v>2.9482173525797295E-2</v>
      </c>
    </row>
    <row r="6" spans="1:11" ht="15" customHeight="1" x14ac:dyDescent="0.35">
      <c r="A6" s="7" t="s">
        <v>30</v>
      </c>
      <c r="B6" s="8">
        <f>Data!B33/Data!B21-1</f>
        <v>-4.2156576944255564E-2</v>
      </c>
      <c r="C6" s="8">
        <f>Data!C33/Data!C21-1</f>
        <v>-0.11997750951647101</v>
      </c>
      <c r="D6" s="8">
        <f>Data!D33/Data!D21-1</f>
        <v>1.7391965337691495E-2</v>
      </c>
      <c r="E6" s="8">
        <f>Data!E33/Data!E21-1</f>
        <v>-1.564230731035321E-2</v>
      </c>
      <c r="F6" s="8">
        <f>Data!F33/Data!F21-1</f>
        <v>2.2680064392169186E-2</v>
      </c>
      <c r="G6" s="8">
        <f>Data!G33/Data!G21-1</f>
        <v>-3.7856886271104173E-2</v>
      </c>
      <c r="H6" s="8">
        <f>Data!H33/Data!H21-1</f>
        <v>-4.6272729716892336E-2</v>
      </c>
      <c r="I6" s="8">
        <f>Data!I33/Data!I21-1</f>
        <v>-2.0240219000607795E-2</v>
      </c>
      <c r="J6" s="8">
        <f>Data!J33/Data!J21-1</f>
        <v>8.2458207847757592E-3</v>
      </c>
      <c r="K6" s="8">
        <f>Data!K33/Data!K21-1</f>
        <v>7.7353269717965745E-3</v>
      </c>
    </row>
    <row r="7" spans="1:11" ht="15" customHeight="1" x14ac:dyDescent="0.35">
      <c r="A7" s="7" t="s">
        <v>31</v>
      </c>
      <c r="B7" s="8">
        <f>Data!B45/Data!B33-1</f>
        <v>0.28986270564563843</v>
      </c>
      <c r="C7" s="8">
        <f>Data!C45/Data!C33-1</f>
        <v>0.25453159275768344</v>
      </c>
      <c r="D7" s="8">
        <f>Data!D45/Data!D33-1</f>
        <v>2.0314846499256634E-2</v>
      </c>
      <c r="E7" s="8">
        <f>Data!E45/Data!E33-1</f>
        <v>0.13744069699462447</v>
      </c>
      <c r="F7" s="8">
        <f>Data!F45/Data!F33-1</f>
        <v>6.0149158997143681E-2</v>
      </c>
      <c r="G7" s="8">
        <f>Data!G45/Data!G33-1</f>
        <v>0.17366128251555191</v>
      </c>
      <c r="H7" s="8">
        <f>Data!H45/Data!H33-1</f>
        <v>0.15929139093072475</v>
      </c>
      <c r="I7" s="8">
        <f>Data!I45/Data!I33-1</f>
        <v>0.140888388413549</v>
      </c>
      <c r="J7" s="8">
        <f>Data!J45/Data!J33-1</f>
        <v>6.1846967435384981E-2</v>
      </c>
      <c r="K7" s="8">
        <f>Data!K45/Data!K33-1</f>
        <v>7.9302462897155257E-2</v>
      </c>
    </row>
    <row r="8" spans="1:11" ht="15" customHeight="1" x14ac:dyDescent="0.35">
      <c r="A8" s="7" t="s">
        <v>32</v>
      </c>
      <c r="B8" s="8">
        <f>Data!B57/Data!B45-1</f>
        <v>0.29659434485986025</v>
      </c>
      <c r="C8" s="8">
        <f>Data!C57/Data!C45-1</f>
        <v>-8.7148643489465272E-2</v>
      </c>
      <c r="D8" s="8">
        <f>Data!D57/Data!D45-1</f>
        <v>4.0013222670183257E-3</v>
      </c>
      <c r="E8" s="8">
        <f>Data!E57/Data!E45-1</f>
        <v>0.18069842280619963</v>
      </c>
      <c r="F8" s="8">
        <f>Data!F57/Data!F45-1</f>
        <v>7.7008738134368038E-2</v>
      </c>
      <c r="G8" s="8">
        <f>Data!G57/Data!G45-1</f>
        <v>0.10972901463974427</v>
      </c>
      <c r="H8" s="8">
        <f>Data!H57/Data!H45-1</f>
        <v>7.9098495195405905E-2</v>
      </c>
      <c r="I8" s="8">
        <f>Data!I57/Data!I45-1</f>
        <v>4.4765360140085031E-2</v>
      </c>
      <c r="J8" s="8">
        <f>Data!J57/Data!J45-1</f>
        <v>4.0780183769300926E-2</v>
      </c>
      <c r="K8" s="8">
        <f>Data!K57/Data!K45-1</f>
        <v>7.8615803375745585E-2</v>
      </c>
    </row>
    <row r="9" spans="1:11" ht="15" customHeight="1" x14ac:dyDescent="0.35">
      <c r="A9" s="7" t="s">
        <v>33</v>
      </c>
      <c r="B9" s="8">
        <f>Data!B69/Data!B57-1</f>
        <v>0.29809088744642342</v>
      </c>
      <c r="C9" s="8">
        <f>Data!C69/Data!C57-1</f>
        <v>0.34633078857127941</v>
      </c>
      <c r="D9" s="8">
        <f>Data!D69/Data!D57-1</f>
        <v>-9.8358025295930407E-4</v>
      </c>
      <c r="E9" s="8">
        <f>Data!E69/Data!E57-1</f>
        <v>-4.9984686772260534E-2</v>
      </c>
      <c r="F9" s="8">
        <f>Data!F69/Data!F57-1</f>
        <v>-2.5468483342505621E-2</v>
      </c>
      <c r="G9" s="8">
        <f>Data!G69/Data!G57-1</f>
        <v>-1.8443557412073042E-2</v>
      </c>
      <c r="H9" s="8">
        <f>Data!H69/Data!H57-1</f>
        <v>7.1356944340118744E-2</v>
      </c>
      <c r="I9" s="8">
        <f>Data!I69/Data!I57-1</f>
        <v>3.747671939106012E-2</v>
      </c>
      <c r="J9" s="8">
        <f>Data!J69/Data!J57-1</f>
        <v>-1.4310862294673599E-2</v>
      </c>
      <c r="K9" s="8">
        <f>Data!K69/Data!K57-1</f>
        <v>-1.8172058903608845E-2</v>
      </c>
    </row>
    <row r="10" spans="1:11" ht="15" customHeight="1" x14ac:dyDescent="0.35">
      <c r="A10" s="7" t="s">
        <v>34</v>
      </c>
      <c r="B10" s="8">
        <f>Data!B81/Data!B69-1</f>
        <v>-0.27271785593705788</v>
      </c>
      <c r="C10" s="8">
        <f>Data!C81/Data!C69-1</f>
        <v>-8.4158629095916204E-3</v>
      </c>
      <c r="D10" s="8">
        <f>Data!D81/Data!D69-1</f>
        <v>1.3798282254658067E-2</v>
      </c>
      <c r="E10" s="8">
        <f>Data!E81/Data!E69-1</f>
        <v>-0.29448164976713731</v>
      </c>
      <c r="F10" s="8">
        <f>Data!F81/Data!F69-1</f>
        <v>-0.10648717253968032</v>
      </c>
      <c r="G10" s="8">
        <f>Data!G81/Data!G69-1</f>
        <v>-0.17933678866410874</v>
      </c>
      <c r="H10" s="8">
        <f>Data!H81/Data!H69-1</f>
        <v>-0.18184144612186448</v>
      </c>
      <c r="I10" s="8">
        <f>Data!I81/Data!I69-1</f>
        <v>-0.10993149404129876</v>
      </c>
      <c r="J10" s="8">
        <f>Data!J81/Data!J69-1</f>
        <v>-0.11740964698102652</v>
      </c>
      <c r="K10" s="8">
        <f>Data!K81/Data!K69-1</f>
        <v>-0.11209463367481942</v>
      </c>
    </row>
    <row r="11" spans="1:11" ht="15" customHeight="1" x14ac:dyDescent="0.35">
      <c r="A11" s="7" t="s">
        <v>35</v>
      </c>
      <c r="B11" s="8">
        <f>Data!B93/Data!B81-1</f>
        <v>8.3067665726790585E-2</v>
      </c>
      <c r="C11" s="8">
        <f>Data!C93/Data!C81-1</f>
        <v>8.230671236950271E-2</v>
      </c>
      <c r="D11" s="8">
        <f>Data!D93/Data!D81-1</f>
        <v>4.9437011660982799E-2</v>
      </c>
      <c r="E11" s="8">
        <f>Data!E93/Data!E81-1</f>
        <v>3.3103618723560935E-2</v>
      </c>
      <c r="F11" s="8">
        <f>Data!F93/Data!F81-1</f>
        <v>4.2419057772783875E-2</v>
      </c>
      <c r="G11" s="8">
        <f>Data!G93/Data!G81-1</f>
        <v>9.4037419726781257E-2</v>
      </c>
      <c r="H11" s="8">
        <f>Data!H93/Data!H81-1</f>
        <v>9.1958652455679912E-2</v>
      </c>
      <c r="I11" s="8">
        <f>Data!I93/Data!I81-1</f>
        <v>0.1152834335384938</v>
      </c>
      <c r="J11" s="8">
        <f>Data!J93/Data!J81-1</f>
        <v>5.0129046317992421E-2</v>
      </c>
      <c r="K11" s="8">
        <f>Data!K93/Data!K81-1</f>
        <v>5.055092928045446E-2</v>
      </c>
    </row>
    <row r="12" spans="1:11" ht="15" customHeight="1" x14ac:dyDescent="0.35">
      <c r="A12" s="7" t="s">
        <v>36</v>
      </c>
      <c r="B12" s="8">
        <f>Data!B105/Data!B93-1</f>
        <v>0.2886213447856667</v>
      </c>
      <c r="C12" s="8">
        <f>Data!C105/Data!C93-1</f>
        <v>0.12778133942997738</v>
      </c>
      <c r="D12" s="8">
        <f>Data!D105/Data!D93-1</f>
        <v>5.1909616704244765E-2</v>
      </c>
      <c r="E12" s="8">
        <f>Data!E105/Data!E93-1</f>
        <v>-6.2358305029110994E-2</v>
      </c>
      <c r="F12" s="8">
        <f>Data!F105/Data!F93-1</f>
        <v>1.3142745155679814E-2</v>
      </c>
      <c r="G12" s="8">
        <f>Data!G105/Data!G93-1</f>
        <v>8.574600792473186E-3</v>
      </c>
      <c r="H12" s="8">
        <f>Data!H105/Data!H93-1</f>
        <v>7.2397630758545661E-2</v>
      </c>
      <c r="I12" s="8">
        <f>Data!I105/Data!I93-1</f>
        <v>7.9678220680267309E-2</v>
      </c>
      <c r="J12" s="8">
        <f>Data!J105/Data!J93-1</f>
        <v>1.3129866566048198E-2</v>
      </c>
      <c r="K12" s="8">
        <f>Data!K105/Data!K93-1</f>
        <v>4.2711215983664452E-2</v>
      </c>
    </row>
    <row r="13" spans="1:11" ht="15" customHeight="1" x14ac:dyDescent="0.35">
      <c r="A13" s="7" t="s">
        <v>37</v>
      </c>
      <c r="B13" s="8">
        <f>Data!B117/Data!B105-1</f>
        <v>0.13754995543957516</v>
      </c>
      <c r="C13" s="8">
        <f>Data!C117/Data!C105-1</f>
        <v>0.17728800967683589</v>
      </c>
      <c r="D13" s="8">
        <f>Data!D117/Data!D105-1</f>
        <v>4.1480709713313191E-2</v>
      </c>
      <c r="E13" s="8">
        <f>Data!E117/Data!E105-1</f>
        <v>5.2822855786631706E-2</v>
      </c>
      <c r="F13" s="8">
        <f>Data!F117/Data!F105-1</f>
        <v>7.45904612222692E-2</v>
      </c>
      <c r="G13" s="8">
        <f>Data!G117/Data!G105-1</f>
        <v>7.8960054725456974E-2</v>
      </c>
      <c r="H13" s="8">
        <f>Data!H117/Data!H105-1</f>
        <v>4.8686425173801728E-2</v>
      </c>
      <c r="I13" s="8">
        <f>Data!I117/Data!I105-1</f>
        <v>8.5971879278889718E-2</v>
      </c>
      <c r="J13" s="8">
        <f>Data!J117/Data!J105-1</f>
        <v>8.3826308942291261E-2</v>
      </c>
      <c r="K13" s="8">
        <f>Data!K117/Data!K105-1</f>
        <v>7.6687091576475908E-2</v>
      </c>
    </row>
    <row r="14" spans="1:11" ht="15" customHeight="1" x14ac:dyDescent="0.35">
      <c r="A14" s="7" t="s">
        <v>38</v>
      </c>
      <c r="B14" s="8">
        <f>Data!B122/Data!B117-1</f>
        <v>0.29028159860672842</v>
      </c>
      <c r="C14" s="8">
        <f>Data!C122/Data!C117-1</f>
        <v>0.10432384812135909</v>
      </c>
      <c r="D14" s="8">
        <f>Data!D122/Data!D117-1</f>
        <v>1.4644351464435212E-2</v>
      </c>
      <c r="E14" s="8">
        <f>Data!E122/Data!E117-1</f>
        <v>-2.7305389221555787E-3</v>
      </c>
      <c r="F14" s="8">
        <f>Data!F122/Data!F117-1</f>
        <v>-1.397877588675267E-3</v>
      </c>
      <c r="G14" s="8">
        <f>Data!G122/Data!G117-1</f>
        <v>7.6143240649333421E-3</v>
      </c>
      <c r="H14" s="8">
        <f>Data!H122/Data!H117-1</f>
        <v>3.5540079412154757E-2</v>
      </c>
      <c r="I14" s="8">
        <f>Data!I122/Data!I117-1</f>
        <v>1.6006124714213588E-2</v>
      </c>
      <c r="J14" s="8">
        <f>Data!J122/Data!J117-1</f>
        <v>9.4793614199830678E-3</v>
      </c>
      <c r="K14" s="8">
        <f>Data!K122/Data!K117-1</f>
        <v>6.2932862030407044E-3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zoomScaleNormal="100" workbookViewId="0"/>
  </sheetViews>
  <sheetFormatPr defaultColWidth="8.6328125" defaultRowHeight="14.5" x14ac:dyDescent="0.35"/>
  <cols>
    <col min="1" max="1" width="26" customWidth="1"/>
    <col min="2" max="11" width="22" customWidth="1"/>
  </cols>
  <sheetData>
    <row r="1" spans="1:11" ht="15.75" customHeight="1" x14ac:dyDescent="0.35">
      <c r="A1" s="6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35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5" customHeight="1" x14ac:dyDescent="0.35">
      <c r="A4" s="7" t="s">
        <v>1</v>
      </c>
      <c r="B4" s="10">
        <f>CORREL('Monthly Returns'!B$2:B$121,'Monthly Returns'!B$2:B$121)</f>
        <v>1.0000000000000002</v>
      </c>
      <c r="C4" s="10">
        <f>CORREL('Monthly Returns'!B$2:B$121,'Monthly Returns'!C$2:C$121)</f>
        <v>0.6868283579544292</v>
      </c>
      <c r="D4" s="10">
        <f>CORREL('Monthly Returns'!B$2:B$121,'Monthly Returns'!D$2:D$121)</f>
        <v>-2.2126331033522618E-2</v>
      </c>
      <c r="E4" s="10">
        <f>CORREL('Monthly Returns'!B$2:B$121,'Monthly Returns'!E$2:E$121)</f>
        <v>0.19197806766903316</v>
      </c>
      <c r="F4" s="10">
        <f>CORREL('Monthly Returns'!B$2:B$121,'Monthly Returns'!F$2:F$121)</f>
        <v>0.15696975353112702</v>
      </c>
      <c r="G4" s="10">
        <f>CORREL('Monthly Returns'!B$2:B$121,'Monthly Returns'!G$2:G$121)</f>
        <v>0.57250022769702313</v>
      </c>
      <c r="H4" s="10">
        <f>CORREL('Monthly Returns'!B$2:B$121,'Monthly Returns'!H$2:H$121)</f>
        <v>0.72542433005778051</v>
      </c>
      <c r="I4" s="10">
        <f>CORREL('Monthly Returns'!B$2:B$121,'Monthly Returns'!I$2:I$121)</f>
        <v>0.74779886410793184</v>
      </c>
      <c r="J4" s="10">
        <f>CORREL('Monthly Returns'!B$2:B$121,'Monthly Returns'!J$2:J$121)</f>
        <v>0.34375768971781112</v>
      </c>
      <c r="K4" s="10">
        <f>CORREL('Monthly Returns'!B$2:B$121,'Monthly Returns'!K$2:K$121)</f>
        <v>0.34848226639148649</v>
      </c>
    </row>
    <row r="5" spans="1:11" ht="15" customHeight="1" x14ac:dyDescent="0.35">
      <c r="A5" s="7" t="s">
        <v>2</v>
      </c>
      <c r="B5" s="10">
        <f>CORREL('Monthly Returns'!C$2:C$121,'Monthly Returns'!B$2:B$121)</f>
        <v>0.6868283579544292</v>
      </c>
      <c r="C5" s="10">
        <f>CORREL('Monthly Returns'!C$2:C$121,'Monthly Returns'!C$2:C$121)</f>
        <v>1.0000000000000002</v>
      </c>
      <c r="D5" s="10">
        <f>CORREL('Monthly Returns'!C$2:C$121,'Monthly Returns'!D$2:D$121)</f>
        <v>-9.6943989532943267E-2</v>
      </c>
      <c r="E5" s="10">
        <f>CORREL('Monthly Returns'!C$2:C$121,'Monthly Returns'!E$2:E$121)</f>
        <v>-5.5017700951600829E-2</v>
      </c>
      <c r="F5" s="10">
        <f>CORREL('Monthly Returns'!C$2:C$121,'Monthly Returns'!F$2:F$121)</f>
        <v>-4.4917600361736219E-2</v>
      </c>
      <c r="G5" s="10">
        <f>CORREL('Monthly Returns'!C$2:C$121,'Monthly Returns'!G$2:G$121)</f>
        <v>0.45225049147668944</v>
      </c>
      <c r="H5" s="10">
        <f>CORREL('Monthly Returns'!C$2:C$121,'Monthly Returns'!H$2:H$121)</f>
        <v>0.6703608852606312</v>
      </c>
      <c r="I5" s="10">
        <f>CORREL('Monthly Returns'!C$2:C$121,'Monthly Returns'!I$2:I$121)</f>
        <v>0.73864944265987342</v>
      </c>
      <c r="J5" s="10">
        <f>CORREL('Monthly Returns'!C$2:C$121,'Monthly Returns'!J$2:J$121)</f>
        <v>0.24886164016112569</v>
      </c>
      <c r="K5" s="10">
        <f>CORREL('Monthly Returns'!C$2:C$121,'Monthly Returns'!K$2:K$121)</f>
        <v>0.16310519882068594</v>
      </c>
    </row>
    <row r="6" spans="1:11" ht="15" customHeight="1" x14ac:dyDescent="0.35">
      <c r="A6" s="7" t="s">
        <v>3</v>
      </c>
      <c r="B6" s="10">
        <f>CORREL('Monthly Returns'!D$2:D$121,'Monthly Returns'!B$2:B$121)</f>
        <v>-2.2126331033522618E-2</v>
      </c>
      <c r="C6" s="10">
        <f>CORREL('Monthly Returns'!D$2:D$121,'Monthly Returns'!C$2:C$121)</f>
        <v>-9.6943989532943267E-2</v>
      </c>
      <c r="D6" s="10">
        <f>CORREL('Monthly Returns'!D$2:D$121,'Monthly Returns'!D$2:D$121)</f>
        <v>1</v>
      </c>
      <c r="E6" s="10">
        <f>CORREL('Monthly Returns'!D$2:D$121,'Monthly Returns'!E$2:E$121)</f>
        <v>8.6896232317457689E-2</v>
      </c>
      <c r="F6" s="10">
        <f>CORREL('Monthly Returns'!D$2:D$121,'Monthly Returns'!F$2:F$121)</f>
        <v>0.16831670417112715</v>
      </c>
      <c r="G6" s="10">
        <f>CORREL('Monthly Returns'!D$2:D$121,'Monthly Returns'!G$2:G$121)</f>
        <v>7.493635043171426E-2</v>
      </c>
      <c r="H6" s="10">
        <f>CORREL('Monthly Returns'!D$2:D$121,'Monthly Returns'!H$2:H$121)</f>
        <v>5.3554880243740837E-3</v>
      </c>
      <c r="I6" s="10">
        <f>CORREL('Monthly Returns'!D$2:D$121,'Monthly Returns'!I$2:I$121)</f>
        <v>2.5011436718071562E-2</v>
      </c>
      <c r="J6" s="10">
        <f>CORREL('Monthly Returns'!D$2:D$121,'Monthly Returns'!J$2:J$121)</f>
        <v>0.15350439039984465</v>
      </c>
      <c r="K6" s="10">
        <f>CORREL('Monthly Returns'!D$2:D$121,'Monthly Returns'!K$2:K$121)</f>
        <v>0.16444598434517096</v>
      </c>
    </row>
    <row r="7" spans="1:11" ht="15" customHeight="1" x14ac:dyDescent="0.35">
      <c r="A7" s="7" t="s">
        <v>4</v>
      </c>
      <c r="B7" s="10">
        <f>CORREL('Monthly Returns'!E$2:E$121,'Monthly Returns'!B$2:B$121)</f>
        <v>0.19197806766903316</v>
      </c>
      <c r="C7" s="10">
        <f>CORREL('Monthly Returns'!E$2:E$121,'Monthly Returns'!C$2:C$121)</f>
        <v>-5.5017700951600829E-2</v>
      </c>
      <c r="D7" s="10">
        <f>CORREL('Monthly Returns'!E$2:E$121,'Monthly Returns'!D$2:D$121)</f>
        <v>8.6896232317457689E-2</v>
      </c>
      <c r="E7" s="10">
        <f>CORREL('Monthly Returns'!E$2:E$121,'Monthly Returns'!E$2:E$121)</f>
        <v>1.0000000000000002</v>
      </c>
      <c r="F7" s="10">
        <f>CORREL('Monthly Returns'!E$2:E$121,'Monthly Returns'!F$2:F$121)</f>
        <v>0.87931709348159148</v>
      </c>
      <c r="G7" s="10">
        <f>CORREL('Monthly Returns'!E$2:E$121,'Monthly Returns'!G$2:G$121)</f>
        <v>0.76292632856237708</v>
      </c>
      <c r="H7" s="10">
        <f>CORREL('Monthly Returns'!E$2:E$121,'Monthly Returns'!H$2:H$121)</f>
        <v>0.37135679199859162</v>
      </c>
      <c r="I7" s="10">
        <f>CORREL('Monthly Returns'!E$2:E$121,'Monthly Returns'!I$2:I$121)</f>
        <v>0.2870284771918602</v>
      </c>
      <c r="J7" s="10">
        <f>CORREL('Monthly Returns'!E$2:E$121,'Monthly Returns'!J$2:J$121)</f>
        <v>0.80944193559629607</v>
      </c>
      <c r="K7" s="10">
        <f>CORREL('Monthly Returns'!E$2:E$121,'Monthly Returns'!K$2:K$121)</f>
        <v>0.80985921827932805</v>
      </c>
    </row>
    <row r="8" spans="1:11" ht="15" customHeight="1" x14ac:dyDescent="0.35">
      <c r="A8" s="7" t="s">
        <v>5</v>
      </c>
      <c r="B8" s="10">
        <f>CORREL('Monthly Returns'!F$2:F$121,'Monthly Returns'!B$2:B$121)</f>
        <v>0.15696975353112702</v>
      </c>
      <c r="C8" s="10">
        <f>CORREL('Monthly Returns'!F$2:F$121,'Monthly Returns'!C$2:C$121)</f>
        <v>-4.4917600361736219E-2</v>
      </c>
      <c r="D8" s="10">
        <f>CORREL('Monthly Returns'!F$2:F$121,'Monthly Returns'!D$2:D$121)</f>
        <v>0.16831670417112715</v>
      </c>
      <c r="E8" s="10">
        <f>CORREL('Monthly Returns'!F$2:F$121,'Monthly Returns'!E$2:E$121)</f>
        <v>0.87931709348159148</v>
      </c>
      <c r="F8" s="10">
        <f>CORREL('Monthly Returns'!F$2:F$121,'Monthly Returns'!F$2:F$121)</f>
        <v>1</v>
      </c>
      <c r="G8" s="10">
        <f>CORREL('Monthly Returns'!F$2:F$121,'Monthly Returns'!G$2:G$121)</f>
        <v>0.74275443525174922</v>
      </c>
      <c r="H8" s="10">
        <f>CORREL('Monthly Returns'!F$2:F$121,'Monthly Returns'!H$2:H$121)</f>
        <v>0.32102002219671122</v>
      </c>
      <c r="I8" s="10">
        <f>CORREL('Monthly Returns'!F$2:F$121,'Monthly Returns'!I$2:I$121)</f>
        <v>0.33273765716978843</v>
      </c>
      <c r="J8" s="10">
        <f>CORREL('Monthly Returns'!F$2:F$121,'Monthly Returns'!J$2:J$121)</f>
        <v>0.90048989423709602</v>
      </c>
      <c r="K8" s="10">
        <f>CORREL('Monthly Returns'!F$2:F$121,'Monthly Returns'!K$2:K$121)</f>
        <v>0.86567924627964565</v>
      </c>
    </row>
    <row r="9" spans="1:11" ht="15" customHeight="1" x14ac:dyDescent="0.35">
      <c r="A9" s="7" t="s">
        <v>6</v>
      </c>
      <c r="B9" s="10">
        <f>CORREL('Monthly Returns'!G$2:G$121,'Monthly Returns'!B$2:B$121)</f>
        <v>0.57250022769702313</v>
      </c>
      <c r="C9" s="10">
        <f>CORREL('Monthly Returns'!G$2:G$121,'Monthly Returns'!C$2:C$121)</f>
        <v>0.45225049147668944</v>
      </c>
      <c r="D9" s="10">
        <f>CORREL('Monthly Returns'!G$2:G$121,'Monthly Returns'!D$2:D$121)</f>
        <v>7.493635043171426E-2</v>
      </c>
      <c r="E9" s="10">
        <f>CORREL('Monthly Returns'!G$2:G$121,'Monthly Returns'!E$2:E$121)</f>
        <v>0.76292632856237708</v>
      </c>
      <c r="F9" s="10">
        <f>CORREL('Monthly Returns'!G$2:G$121,'Monthly Returns'!F$2:F$121)</f>
        <v>0.74275443525174922</v>
      </c>
      <c r="G9" s="10">
        <f>CORREL('Monthly Returns'!G$2:G$121,'Monthly Returns'!G$2:G$121)</f>
        <v>0.99999999999999978</v>
      </c>
      <c r="H9" s="10">
        <f>CORREL('Monthly Returns'!G$2:G$121,'Monthly Returns'!H$2:H$121)</f>
        <v>0.74398485663973257</v>
      </c>
      <c r="I9" s="10">
        <f>CORREL('Monthly Returns'!G$2:G$121,'Monthly Returns'!I$2:I$121)</f>
        <v>0.78057598589885691</v>
      </c>
      <c r="J9" s="10">
        <f>CORREL('Monthly Returns'!G$2:G$121,'Monthly Returns'!J$2:J$121)</f>
        <v>0.84198590009117835</v>
      </c>
      <c r="K9" s="10">
        <f>CORREL('Monthly Returns'!G$2:G$121,'Monthly Returns'!K$2:K$121)</f>
        <v>0.82953078286293092</v>
      </c>
    </row>
    <row r="10" spans="1:11" ht="15" customHeight="1" x14ac:dyDescent="0.35">
      <c r="A10" s="7" t="s">
        <v>7</v>
      </c>
      <c r="B10" s="10">
        <f>CORREL('Monthly Returns'!H$2:H$121,'Monthly Returns'!B$2:B$121)</f>
        <v>0.72542433005778051</v>
      </c>
      <c r="C10" s="10">
        <f>CORREL('Monthly Returns'!H$2:H$121,'Monthly Returns'!C$2:C$121)</f>
        <v>0.6703608852606312</v>
      </c>
      <c r="D10" s="10">
        <f>CORREL('Monthly Returns'!H$2:H$121,'Monthly Returns'!D$2:D$121)</f>
        <v>5.3554880243740837E-3</v>
      </c>
      <c r="E10" s="10">
        <f>CORREL('Monthly Returns'!H$2:H$121,'Monthly Returns'!E$2:E$121)</f>
        <v>0.37135679199859162</v>
      </c>
      <c r="F10" s="10">
        <f>CORREL('Monthly Returns'!H$2:H$121,'Monthly Returns'!F$2:F$121)</f>
        <v>0.32102002219671122</v>
      </c>
      <c r="G10" s="10">
        <f>CORREL('Monthly Returns'!H$2:H$121,'Monthly Returns'!G$2:G$121)</f>
        <v>0.74398485663973257</v>
      </c>
      <c r="H10" s="10">
        <f>CORREL('Monthly Returns'!H$2:H$121,'Monthly Returns'!H$2:H$121)</f>
        <v>1</v>
      </c>
      <c r="I10" s="10">
        <f>CORREL('Monthly Returns'!H$2:H$121,'Monthly Returns'!I$2:I$121)</f>
        <v>0.81409347723196546</v>
      </c>
      <c r="J10" s="10">
        <f>CORREL('Monthly Returns'!H$2:H$121,'Monthly Returns'!J$2:J$121)</f>
        <v>0.54826354559449442</v>
      </c>
      <c r="K10" s="10">
        <f>CORREL('Monthly Returns'!H$2:H$121,'Monthly Returns'!K$2:K$121)</f>
        <v>0.56397464606730252</v>
      </c>
    </row>
    <row r="11" spans="1:11" ht="15" customHeight="1" x14ac:dyDescent="0.35">
      <c r="A11" s="7" t="s">
        <v>8</v>
      </c>
      <c r="B11" s="10">
        <f>CORREL('Monthly Returns'!I$2:I$121,'Monthly Returns'!B$2:B$121)</f>
        <v>0.74779886410793184</v>
      </c>
      <c r="C11" s="10">
        <f>CORREL('Monthly Returns'!I$2:I$121,'Monthly Returns'!C$2:C$121)</f>
        <v>0.73864944265987342</v>
      </c>
      <c r="D11" s="10">
        <f>CORREL('Monthly Returns'!I$2:I$121,'Monthly Returns'!D$2:D$121)</f>
        <v>2.5011436718071562E-2</v>
      </c>
      <c r="E11" s="10">
        <f>CORREL('Monthly Returns'!I$2:I$121,'Monthly Returns'!E$2:E$121)</f>
        <v>0.2870284771918602</v>
      </c>
      <c r="F11" s="10">
        <f>CORREL('Monthly Returns'!I$2:I$121,'Monthly Returns'!F$2:F$121)</f>
        <v>0.33273765716978843</v>
      </c>
      <c r="G11" s="10">
        <f>CORREL('Monthly Returns'!I$2:I$121,'Monthly Returns'!G$2:G$121)</f>
        <v>0.78057598589885691</v>
      </c>
      <c r="H11" s="10">
        <f>CORREL('Monthly Returns'!I$2:I$121,'Monthly Returns'!H$2:H$121)</f>
        <v>0.81409347723196546</v>
      </c>
      <c r="I11" s="10">
        <f>CORREL('Monthly Returns'!I$2:I$121,'Monthly Returns'!I$2:I$121)</f>
        <v>0.99999999999999989</v>
      </c>
      <c r="J11" s="10">
        <f>CORREL('Monthly Returns'!I$2:I$121,'Monthly Returns'!J$2:J$121)</f>
        <v>0.54097778021302223</v>
      </c>
      <c r="K11" s="10">
        <f>CORREL('Monthly Returns'!I$2:I$121,'Monthly Returns'!K$2:K$121)</f>
        <v>0.51309025289241628</v>
      </c>
    </row>
    <row r="12" spans="1:11" ht="15" customHeight="1" x14ac:dyDescent="0.35">
      <c r="A12" s="7" t="s">
        <v>9</v>
      </c>
      <c r="B12" s="10">
        <f>CORREL('Monthly Returns'!J$2:J$121,'Monthly Returns'!B$2:B$121)</f>
        <v>0.34375768971781112</v>
      </c>
      <c r="C12" s="10">
        <f>CORREL('Monthly Returns'!J$2:J$121,'Monthly Returns'!C$2:C$121)</f>
        <v>0.24886164016112569</v>
      </c>
      <c r="D12" s="10">
        <f>CORREL('Monthly Returns'!J$2:J$121,'Monthly Returns'!D$2:D$121)</f>
        <v>0.15350439039984465</v>
      </c>
      <c r="E12" s="10">
        <f>CORREL('Monthly Returns'!J$2:J$121,'Monthly Returns'!E$2:E$121)</f>
        <v>0.80944193559629607</v>
      </c>
      <c r="F12" s="10">
        <f>CORREL('Monthly Returns'!J$2:J$121,'Monthly Returns'!F$2:F$121)</f>
        <v>0.90048989423709602</v>
      </c>
      <c r="G12" s="10">
        <f>CORREL('Monthly Returns'!J$2:J$121,'Monthly Returns'!G$2:G$121)</f>
        <v>0.84198590009117835</v>
      </c>
      <c r="H12" s="10">
        <f>CORREL('Monthly Returns'!J$2:J$121,'Monthly Returns'!H$2:H$121)</f>
        <v>0.54826354559449442</v>
      </c>
      <c r="I12" s="10">
        <f>CORREL('Monthly Returns'!J$2:J$121,'Monthly Returns'!I$2:I$121)</f>
        <v>0.54097778021302223</v>
      </c>
      <c r="J12" s="10">
        <f>CORREL('Monthly Returns'!J$2:J$121,'Monthly Returns'!J$2:J$121)</f>
        <v>1</v>
      </c>
      <c r="K12" s="10">
        <f>CORREL('Monthly Returns'!J$2:J$121,'Monthly Returns'!K$2:K$121)</f>
        <v>0.85236208185078266</v>
      </c>
    </row>
    <row r="13" spans="1:11" ht="15" customHeight="1" x14ac:dyDescent="0.35">
      <c r="A13" s="7" t="s">
        <v>10</v>
      </c>
      <c r="B13" s="10">
        <f>CORREL('Monthly Returns'!K$2:K$121,'Monthly Returns'!B$2:B$121)</f>
        <v>0.34848226639148649</v>
      </c>
      <c r="C13" s="10">
        <f>CORREL('Monthly Returns'!K$2:K$121,'Monthly Returns'!C$2:C$121)</f>
        <v>0.16310519882068594</v>
      </c>
      <c r="D13" s="10">
        <f>CORREL('Monthly Returns'!K$2:K$121,'Monthly Returns'!D$2:D$121)</f>
        <v>0.16444598434517096</v>
      </c>
      <c r="E13" s="10">
        <f>CORREL('Monthly Returns'!K$2:K$121,'Monthly Returns'!E$2:E$121)</f>
        <v>0.80985921827932805</v>
      </c>
      <c r="F13" s="10">
        <f>CORREL('Monthly Returns'!K$2:K$121,'Monthly Returns'!F$2:F$121)</f>
        <v>0.86567924627964565</v>
      </c>
      <c r="G13" s="10">
        <f>CORREL('Monthly Returns'!K$2:K$121,'Monthly Returns'!G$2:G$121)</f>
        <v>0.82953078286293092</v>
      </c>
      <c r="H13" s="10">
        <f>CORREL('Monthly Returns'!K$2:K$121,'Monthly Returns'!H$2:H$121)</f>
        <v>0.56397464606730252</v>
      </c>
      <c r="I13" s="10">
        <f>CORREL('Monthly Returns'!K$2:K$121,'Monthly Returns'!I$2:I$121)</f>
        <v>0.51309025289241628</v>
      </c>
      <c r="J13" s="10">
        <f>CORREL('Monthly Returns'!K$2:K$121,'Monthly Returns'!J$2:J$121)</f>
        <v>0.85236208185078266</v>
      </c>
      <c r="K13" s="10">
        <f>CORREL('Monthly Returns'!K$2:K$121,'Monthly Returns'!K$2:K$121)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Normal="100" workbookViewId="0"/>
  </sheetViews>
  <sheetFormatPr defaultColWidth="8.6328125" defaultRowHeight="14.5" x14ac:dyDescent="0.35"/>
  <cols>
    <col min="1" max="1" width="26" customWidth="1"/>
    <col min="2" max="3" width="14" customWidth="1"/>
    <col min="4" max="4" width="18" customWidth="1"/>
  </cols>
  <sheetData>
    <row r="1" spans="1:4" ht="15.75" customHeight="1" x14ac:dyDescent="0.35">
      <c r="A1" s="6" t="s">
        <v>40</v>
      </c>
      <c r="B1" s="2"/>
      <c r="C1" s="2"/>
      <c r="D1" s="2"/>
    </row>
    <row r="2" spans="1:4" x14ac:dyDescent="0.35">
      <c r="A2" s="2"/>
      <c r="B2" s="2"/>
      <c r="C2" s="2"/>
      <c r="D2" s="2"/>
    </row>
    <row r="3" spans="1:4" ht="15" customHeight="1" x14ac:dyDescent="0.35">
      <c r="A3" s="1" t="s">
        <v>15</v>
      </c>
      <c r="B3" s="1" t="s">
        <v>41</v>
      </c>
      <c r="C3" s="1" t="s">
        <v>42</v>
      </c>
      <c r="D3" s="1" t="s">
        <v>43</v>
      </c>
    </row>
    <row r="4" spans="1:4" ht="15" customHeight="1" x14ac:dyDescent="0.35">
      <c r="A4" s="7" t="s">
        <v>18</v>
      </c>
      <c r="B4" s="12">
        <f>'Summary Stats'!B7</f>
        <v>0.14967884063209391</v>
      </c>
      <c r="C4" s="12">
        <f>'Summary Stats'!C7</f>
        <v>0.10965544877139166</v>
      </c>
      <c r="D4" s="8">
        <f t="shared" ref="D4:D10" si="0">B4-C4</f>
        <v>4.0023391860702251E-2</v>
      </c>
    </row>
    <row r="5" spans="1:4" ht="15" customHeight="1" x14ac:dyDescent="0.35">
      <c r="A5" s="7" t="s">
        <v>19</v>
      </c>
      <c r="B5" s="12">
        <f>'Summary Stats'!B8</f>
        <v>0.19310346886550556</v>
      </c>
      <c r="C5" s="12">
        <f>'Summary Stats'!C8</f>
        <v>0.20723697699345894</v>
      </c>
      <c r="D5" s="8">
        <f t="shared" si="0"/>
        <v>-1.4133508127953387E-2</v>
      </c>
    </row>
    <row r="6" spans="1:4" ht="15" customHeight="1" x14ac:dyDescent="0.35">
      <c r="A6" s="7" t="s">
        <v>21</v>
      </c>
      <c r="B6" s="13">
        <f>'Summary Stats'!B10</f>
        <v>0.66236848125976788</v>
      </c>
      <c r="C6" s="13">
        <f>'Summary Stats'!C10</f>
        <v>0.42406650016183833</v>
      </c>
      <c r="D6" s="10">
        <f t="shared" si="0"/>
        <v>0.23830198109792955</v>
      </c>
    </row>
    <row r="7" spans="1:4" ht="15" customHeight="1" x14ac:dyDescent="0.35">
      <c r="A7" s="7" t="s">
        <v>44</v>
      </c>
      <c r="B7" s="14">
        <f>'Summary Stats'!B9</f>
        <v>4.0342739341790308</v>
      </c>
      <c r="C7" s="14">
        <f>'Summary Stats'!C9</f>
        <v>2.83061953953364</v>
      </c>
      <c r="D7" s="9">
        <f t="shared" si="0"/>
        <v>1.2036543946453908</v>
      </c>
    </row>
    <row r="8" spans="1:4" ht="15" customHeight="1" x14ac:dyDescent="0.35">
      <c r="A8" s="7" t="s">
        <v>24</v>
      </c>
      <c r="B8" s="12">
        <f>'Summary Stats'!B12</f>
        <v>-0.15562485993092379</v>
      </c>
      <c r="C8" s="12">
        <f>'Summary Stats'!C12</f>
        <v>-0.28736171541356204</v>
      </c>
      <c r="D8" s="8">
        <f t="shared" si="0"/>
        <v>0.13173685548263825</v>
      </c>
    </row>
    <row r="9" spans="1:4" ht="15" customHeight="1" x14ac:dyDescent="0.35">
      <c r="A9" s="7" t="s">
        <v>25</v>
      </c>
      <c r="B9" s="12">
        <f>'Summary Stats'!B13</f>
        <v>-0.27271785593705788</v>
      </c>
      <c r="C9" s="12">
        <f>'Summary Stats'!C13</f>
        <v>-8.4158629095916204E-3</v>
      </c>
      <c r="D9" s="8">
        <f t="shared" si="0"/>
        <v>-0.26430199302746626</v>
      </c>
    </row>
    <row r="10" spans="1:4" ht="15" customHeight="1" x14ac:dyDescent="0.35">
      <c r="A10" s="7" t="s">
        <v>45</v>
      </c>
      <c r="B10" s="12">
        <f>'Calendar Year Returns'!B14</f>
        <v>0.29028159860672842</v>
      </c>
      <c r="C10" s="12">
        <f>'Calendar Year Returns'!C14</f>
        <v>0.10432384812135909</v>
      </c>
      <c r="D10" s="8">
        <f t="shared" si="0"/>
        <v>0.18595775048536933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zoomScaleNormal="100" workbookViewId="0"/>
  </sheetViews>
  <sheetFormatPr defaultColWidth="8.6328125" defaultRowHeight="14.5" x14ac:dyDescent="0.35"/>
  <cols>
    <col min="1" max="1" width="26" customWidth="1"/>
    <col min="2" max="3" width="16" customWidth="1"/>
    <col min="4" max="5" width="20" customWidth="1"/>
    <col min="6" max="6" width="13" customWidth="1"/>
    <col min="7" max="7" width="10" customWidth="1"/>
    <col min="8" max="8" width="20" customWidth="1"/>
    <col min="9" max="9" width="14" customWidth="1"/>
  </cols>
  <sheetData>
    <row r="1" spans="1:9" ht="16.149999999999999" customHeight="1" x14ac:dyDescent="0.35">
      <c r="A1" s="6" t="s">
        <v>46</v>
      </c>
      <c r="B1" s="2"/>
      <c r="C1" s="2"/>
      <c r="D1" s="2"/>
      <c r="E1" s="2"/>
      <c r="F1" s="2"/>
      <c r="G1" s="2"/>
      <c r="H1" s="2"/>
      <c r="I1" s="2"/>
    </row>
    <row r="2" spans="1:9" ht="15" customHeight="1" x14ac:dyDescent="0.35">
      <c r="A2" s="3" t="s">
        <v>47</v>
      </c>
      <c r="B2" s="2"/>
      <c r="C2" s="2"/>
      <c r="D2" s="2"/>
      <c r="E2" s="2"/>
      <c r="F2" s="2"/>
      <c r="G2" s="2"/>
      <c r="H2" s="2"/>
      <c r="I2" s="2"/>
    </row>
    <row r="3" spans="1:9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 x14ac:dyDescent="0.3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</row>
    <row r="5" spans="1:9" ht="15" customHeight="1" x14ac:dyDescent="0.35">
      <c r="A5" s="7" t="s">
        <v>3</v>
      </c>
      <c r="B5" s="15">
        <v>3.5099999999999999E-2</v>
      </c>
      <c r="C5" s="15">
        <v>3.6799999999999999E-2</v>
      </c>
      <c r="D5" s="16">
        <v>0.14000000000000001</v>
      </c>
      <c r="E5" s="16">
        <v>0.15</v>
      </c>
      <c r="F5" s="15">
        <v>1.353E-3</v>
      </c>
      <c r="G5" s="17">
        <v>46.6</v>
      </c>
      <c r="H5" s="11" t="s">
        <v>22</v>
      </c>
      <c r="I5" s="3" t="s">
        <v>57</v>
      </c>
    </row>
    <row r="6" spans="1:9" ht="15" customHeight="1" x14ac:dyDescent="0.35">
      <c r="A6" s="7" t="s">
        <v>4</v>
      </c>
      <c r="B6" s="15">
        <v>0.05</v>
      </c>
      <c r="C6" s="15">
        <v>4.9799999999999997E-2</v>
      </c>
      <c r="D6" s="16">
        <v>14.2</v>
      </c>
      <c r="E6" s="16">
        <v>21.8</v>
      </c>
      <c r="F6" s="15">
        <v>2.9999999999999997E-4</v>
      </c>
      <c r="G6" s="17">
        <v>10.6</v>
      </c>
      <c r="H6" s="5">
        <f>C6/D6</f>
        <v>3.5070422535211265E-3</v>
      </c>
      <c r="I6" s="3" t="s">
        <v>57</v>
      </c>
    </row>
    <row r="7" spans="1:9" ht="15" customHeight="1" x14ac:dyDescent="0.35">
      <c r="A7" s="7" t="s">
        <v>5</v>
      </c>
      <c r="B7" s="15">
        <v>4.2999999999999997E-2</v>
      </c>
      <c r="C7" s="15">
        <v>4.2799999999999998E-2</v>
      </c>
      <c r="D7" s="16">
        <v>4.9000000000000004</v>
      </c>
      <c r="E7" s="16">
        <v>5.59</v>
      </c>
      <c r="F7" s="15">
        <v>2.9999999999999997E-4</v>
      </c>
      <c r="G7" s="17">
        <v>10.3</v>
      </c>
      <c r="H7" s="5">
        <f>C7/D7</f>
        <v>8.7346938775510197E-3</v>
      </c>
      <c r="I7" s="3" t="s">
        <v>57</v>
      </c>
    </row>
    <row r="8" spans="1:9" ht="15" customHeight="1" x14ac:dyDescent="0.35">
      <c r="A8" s="7" t="s">
        <v>6</v>
      </c>
      <c r="B8" s="15">
        <v>5.2200000000000003E-2</v>
      </c>
      <c r="C8" s="15">
        <v>5.28E-2</v>
      </c>
      <c r="D8" s="16">
        <v>7.99</v>
      </c>
      <c r="E8" s="16">
        <v>12.95</v>
      </c>
      <c r="F8" s="15">
        <v>1.4E-3</v>
      </c>
      <c r="G8" s="17">
        <v>32.1</v>
      </c>
      <c r="H8" s="5">
        <f>C8/D8</f>
        <v>6.6082603254067583E-3</v>
      </c>
      <c r="I8" s="3" t="s">
        <v>58</v>
      </c>
    </row>
    <row r="9" spans="1:9" ht="15" customHeight="1" x14ac:dyDescent="0.35">
      <c r="A9" s="7" t="s">
        <v>7</v>
      </c>
      <c r="B9" s="15">
        <v>6.2799999999999995E-2</v>
      </c>
      <c r="C9" s="18" t="s">
        <v>22</v>
      </c>
      <c r="D9" s="18" t="s">
        <v>22</v>
      </c>
      <c r="E9" s="18" t="s">
        <v>22</v>
      </c>
      <c r="F9" s="15">
        <v>4.4999999999999997E-3</v>
      </c>
      <c r="G9" s="17">
        <v>13.8</v>
      </c>
      <c r="H9" s="11" t="s">
        <v>22</v>
      </c>
      <c r="I9" s="3" t="s">
        <v>59</v>
      </c>
    </row>
    <row r="10" spans="1:9" ht="15" customHeight="1" x14ac:dyDescent="0.35">
      <c r="A10" s="7" t="s">
        <v>8</v>
      </c>
      <c r="B10" s="15">
        <v>6.4299999999999996E-2</v>
      </c>
      <c r="C10" s="15">
        <v>6.8900000000000003E-2</v>
      </c>
      <c r="D10" s="16">
        <v>2.98</v>
      </c>
      <c r="E10" s="16">
        <v>3.66</v>
      </c>
      <c r="F10" s="15">
        <v>4.8999999999999998E-3</v>
      </c>
      <c r="G10" s="17">
        <v>16.8</v>
      </c>
      <c r="H10" s="5">
        <f>C10/D10</f>
        <v>2.3120805369127518E-2</v>
      </c>
      <c r="I10" s="3" t="s">
        <v>60</v>
      </c>
    </row>
    <row r="11" spans="1:9" ht="15" customHeight="1" x14ac:dyDescent="0.35">
      <c r="A11" s="7" t="s">
        <v>9</v>
      </c>
      <c r="B11" s="15">
        <v>4.2000000000000003E-2</v>
      </c>
      <c r="C11" s="15">
        <v>4.9099999999999998E-2</v>
      </c>
      <c r="D11" s="16">
        <v>5.3</v>
      </c>
      <c r="E11" s="16">
        <v>6.59</v>
      </c>
      <c r="F11" s="15">
        <v>4.0000000000000002E-4</v>
      </c>
      <c r="G11" s="17">
        <v>39.700000000000003</v>
      </c>
      <c r="H11" s="5">
        <f>C11/D11</f>
        <v>9.2641509433962262E-3</v>
      </c>
      <c r="I11" s="3" t="s">
        <v>61</v>
      </c>
    </row>
    <row r="12" spans="1:9" ht="15" customHeight="1" x14ac:dyDescent="0.35">
      <c r="A12" s="7" t="s">
        <v>10</v>
      </c>
      <c r="B12" s="15">
        <v>3.9399999999999998E-2</v>
      </c>
      <c r="C12" s="15">
        <v>4.5600000000000002E-2</v>
      </c>
      <c r="D12" s="18" t="s">
        <v>22</v>
      </c>
      <c r="E12" s="18" t="s">
        <v>22</v>
      </c>
      <c r="F12" s="15">
        <v>2.5000000000000001E-3</v>
      </c>
      <c r="G12" s="17">
        <v>0.5</v>
      </c>
      <c r="H12" s="11" t="s">
        <v>22</v>
      </c>
      <c r="I12" s="3" t="s">
        <v>62</v>
      </c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ht="15" customHeight="1" x14ac:dyDescent="0.35">
      <c r="A14" s="3" t="s">
        <v>63</v>
      </c>
      <c r="B14" s="2"/>
      <c r="C14" s="2"/>
      <c r="D14" s="2"/>
      <c r="E14" s="2"/>
      <c r="F14" s="2"/>
      <c r="G14" s="2"/>
      <c r="H14" s="2"/>
      <c r="I14" s="2"/>
    </row>
    <row r="15" spans="1:9" ht="15" customHeight="1" x14ac:dyDescent="0.35">
      <c r="A15" s="3" t="s">
        <v>64</v>
      </c>
      <c r="B15" s="2"/>
      <c r="C15" s="2"/>
      <c r="D15" s="2"/>
      <c r="E15" s="2"/>
      <c r="F15" s="2"/>
      <c r="G15" s="2"/>
      <c r="H15" s="2"/>
      <c r="I15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Monthly Returns</vt:lpstr>
      <vt:lpstr>Summary Stats</vt:lpstr>
      <vt:lpstr>Calendar Year Returns</vt:lpstr>
      <vt:lpstr>Correlations</vt:lpstr>
      <vt:lpstr>Growth vs Value</vt:lpstr>
      <vt:lpstr>Current Fund Stats (Fwd)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ACCM Fixed Income and Equity Style Analysis</dc:title>
  <dc:creator>Andrew Pasten</dc:creator>
  <dc:description>Ten years of monthly total-return data, June 2016 - May 2026. Risk and return statistics, correlations, growth-versus-value analysis and current fund statistics. FRL 6950. Frozen 31 July 2026.</dc:description>
  <cp:lastModifiedBy>Andrew Pasten</cp:lastModifiedBy>
  <cp:revision>0</cp:revision>
  <dcterms:created xsi:type="dcterms:W3CDTF">2026-07-06T20:42:59Z</dcterms:created>
  <dcterms:modified xsi:type="dcterms:W3CDTF">2026-10-06T02:24:24Z</dcterms:modified>
  <dc:language>en-US</dc:language>
</cp:coreProperties>
</file>