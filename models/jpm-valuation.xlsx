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4b07fe6b7538511e/0 MSFA/CURRENT DELIVERABLES - 5 Oct 2026/"/>
    </mc:Choice>
  </mc:AlternateContent>
  <xr:revisionPtr revIDLastSave="3" documentId="11_0D7C6783238098DEEA8C3FFE0CBDCCF66E8A0A74" xr6:coauthVersionLast="47" xr6:coauthVersionMax="47" xr10:uidLastSave="{434B2ED2-6FA6-4FF4-AC57-6AD96ED769FD}"/>
  <bookViews>
    <workbookView xWindow="-110" yWindow="-110" windowWidth="25820" windowHeight="16220" tabRatio="500" xr2:uid="{00000000-000D-0000-FFFF-FFFF00000000}"/>
  </bookViews>
  <sheets>
    <sheet name="DGM - JPM" sheetId="1" r:id="rId1"/>
    <sheet name="Scenarios &amp; Sensitivity" sheetId="2" r:id="rId2"/>
    <sheet name="Method, Sources &amp; Limitation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8" i="2" l="1"/>
  <c r="D8" i="2" s="1"/>
  <c r="B7" i="2"/>
  <c r="D6" i="2"/>
  <c r="B6" i="2"/>
  <c r="B46" i="1"/>
  <c r="B30" i="1"/>
  <c r="B27" i="1"/>
  <c r="B29" i="1" s="1"/>
  <c r="F10" i="1"/>
  <c r="F12" i="1" s="1"/>
  <c r="E10" i="1"/>
  <c r="E12" i="1" s="1"/>
  <c r="D10" i="1"/>
  <c r="D12" i="1" s="1"/>
  <c r="C10" i="1"/>
  <c r="C12" i="1" s="1"/>
  <c r="B10" i="1"/>
  <c r="B12" i="1" s="1"/>
  <c r="B17" i="1" s="1"/>
  <c r="C7" i="2" l="1"/>
  <c r="D7" i="2" s="1"/>
  <c r="E7" i="2" s="1"/>
  <c r="F7" i="2" s="1"/>
  <c r="G7" i="2" s="1"/>
  <c r="B36" i="1"/>
  <c r="B37" i="1" s="1"/>
  <c r="B18" i="1"/>
  <c r="B31" i="1" s="1"/>
  <c r="E8" i="2"/>
  <c r="F8" i="2" s="1"/>
  <c r="G8" i="2" s="1"/>
  <c r="E6" i="2"/>
  <c r="F6" i="2" s="1"/>
  <c r="G6" i="2" s="1"/>
  <c r="C16" i="2" l="1"/>
  <c r="F16" i="2"/>
  <c r="C17" i="2"/>
  <c r="F17" i="2"/>
  <c r="E18" i="2"/>
  <c r="C19" i="2"/>
  <c r="F19" i="2"/>
  <c r="F20" i="2"/>
  <c r="B38" i="1"/>
  <c r="B40" i="1" s="1"/>
  <c r="B45" i="1" s="1"/>
  <c r="B47" i="1" s="1"/>
  <c r="E16" i="2"/>
  <c r="E17" i="2"/>
  <c r="B19" i="2"/>
  <c r="E19" i="2"/>
  <c r="B20" i="2"/>
  <c r="D20" i="2"/>
  <c r="B18" i="2"/>
  <c r="B16" i="2"/>
  <c r="D16" i="2"/>
  <c r="B17" i="2"/>
  <c r="D17" i="2"/>
  <c r="C18" i="2"/>
  <c r="D18" i="2"/>
  <c r="F18" i="2"/>
  <c r="D19" i="2"/>
  <c r="C20" i="2"/>
  <c r="E20" i="2"/>
</calcChain>
</file>

<file path=xl/sharedStrings.xml><?xml version="1.0" encoding="utf-8"?>
<sst xmlns="http://schemas.openxmlformats.org/spreadsheetml/2006/main" count="186" uniqueCount="169">
  <si>
    <t>JPMorgan Chase &amp; Co. (NYSE: JPM)</t>
  </si>
  <si>
    <t>Dividend Growth Model on total shareholder payout</t>
  </si>
  <si>
    <t>Angel City Capital Management  |  Andrew Pasten  |  Valuation date June 1, 2026  |  Frozen July 31, 2026</t>
  </si>
  <si>
    <t>SHAREHOLDER PAYOUT HISTORY  ($ millions)</t>
  </si>
  <si>
    <t>Item</t>
  </si>
  <si>
    <t>FY2021</t>
  </si>
  <si>
    <t>FY2022</t>
  </si>
  <si>
    <t>FY2023</t>
  </si>
  <si>
    <t>FY2024</t>
  </si>
  <si>
    <t>FY2025</t>
  </si>
  <si>
    <t>Source</t>
  </si>
  <si>
    <t>Dividends paid</t>
  </si>
  <si>
    <t>JPM cash flow statement via Bloomberg</t>
  </si>
  <si>
    <t>Stock repurchased</t>
  </si>
  <si>
    <t>Stock issued (negative)</t>
  </si>
  <si>
    <t>Net cash to shareholders</t>
  </si>
  <si>
    <t>Operating net income</t>
  </si>
  <si>
    <t>Bloomberg, operating basis not GAAP</t>
  </si>
  <si>
    <t>Payout ratio</t>
  </si>
  <si>
    <t>Diluted shares (millions)</t>
  </si>
  <si>
    <t>JPM Form 10-K</t>
  </si>
  <si>
    <t>MODEL INPUTS</t>
  </si>
  <si>
    <t>Input</t>
  </si>
  <si>
    <t>Value</t>
  </si>
  <si>
    <t>Average payout ratio, FY2021-25</t>
  </si>
  <si>
    <t>Five-year mean  (1)</t>
  </si>
  <si>
    <t>Retention ratio</t>
  </si>
  <si>
    <t>Risk-free rate (10-yr Treasury)</t>
  </si>
  <si>
    <t>Market, 1 Jun 2026</t>
  </si>
  <si>
    <t>Beta (adjusted)</t>
  </si>
  <si>
    <t>Bloomberg, May 2026</t>
  </si>
  <si>
    <t>Equity risk premium</t>
  </si>
  <si>
    <t>Damodaran implied ERP, May 2026  (2)</t>
  </si>
  <si>
    <t>FY2026 operating net income ($M)</t>
  </si>
  <si>
    <t>Bloomberg consensus at initiation</t>
  </si>
  <si>
    <t>Return on equity</t>
  </si>
  <si>
    <t>JPM reported, FY2025</t>
  </si>
  <si>
    <t>COST OF EQUITY AND GROWTH</t>
  </si>
  <si>
    <t>Cost of equity (CAPM)</t>
  </si>
  <si>
    <t>rf + beta x ERP</t>
  </si>
  <si>
    <t>Growth rate (g)</t>
  </si>
  <si>
    <t>Set to the 10-yr Treasury  (3)</t>
  </si>
  <si>
    <t>Capitalization spread (Ke - g)</t>
  </si>
  <si>
    <t>(4)</t>
  </si>
  <si>
    <t>Check: beta x ERP</t>
  </si>
  <si>
    <t>Identical to the spread above</t>
  </si>
  <si>
    <t>Sustainable growth (ROE x retention)</t>
  </si>
  <si>
    <t>Cross-check  (5)</t>
  </si>
  <si>
    <t>VALUATION</t>
  </si>
  <si>
    <t>Net cash to shareholders, FY2026E ($M)</t>
  </si>
  <si>
    <t>Shareholder cash flow per share</t>
  </si>
  <si>
    <t>FY2025 diluted share count</t>
  </si>
  <si>
    <t>Intrinsic value per share at January 1, 2026</t>
  </si>
  <si>
    <t>Capitalised at the spread</t>
  </si>
  <si>
    <t>Months from that date to the target date of June 1, 2027</t>
  </si>
  <si>
    <t>Seventeen months. The FY2026 cash flow dates the value at January 1, 2026.</t>
  </si>
  <si>
    <t>TWELVE-MONTH TARGET PRICE (June 1, 2027)</t>
  </si>
  <si>
    <t>Accreted at g, not at the cost of equity. Price grows at g. The gap between g and Ke is the dividend.</t>
  </si>
  <si>
    <t>EXPECTED RETURN</t>
  </si>
  <si>
    <t>Purchase price</t>
  </si>
  <si>
    <t>May 29, 2026 close</t>
  </si>
  <si>
    <t>Price appreciation</t>
  </si>
  <si>
    <t>Dividend yield at purchase</t>
  </si>
  <si>
    <t>FY2025 dividends per share</t>
  </si>
  <si>
    <t>TOTAL EXPECTED RETURN</t>
  </si>
  <si>
    <t>RATING</t>
  </si>
  <si>
    <t>BUY</t>
  </si>
  <si>
    <t>Consensus 4.1/5, $348 average target (Bloomberg ANR, 6 Jul 2026)</t>
  </si>
  <si>
    <t>NOTES</t>
  </si>
  <si>
    <t>(1)  Payout is volatile year to year because buyback is discretionary and capital-regulation dependent. FY2025 alone implies an 86% payout, well above</t>
  </si>
  <si>
    <t xml:space="preserve">      what is sustainable through a credit cycle, so a five-year average is used rather than the latest year.</t>
  </si>
  <si>
    <t>(2)  The Damodaran implied ERP is derived from the current index level and its expected cash flows, so it reflects the prevailing price of risk rather</t>
  </si>
  <si>
    <t xml:space="preserve">      than the realized experience of a historical sample.</t>
  </si>
  <si>
    <t>(3)  A diversified bank of systemic scale cannot durably outgrow the nominal economy it lends into. The standard proxy for long-run nominal growth in</t>
  </si>
  <si>
    <t xml:space="preserve">      a valuation context is the long bond yield.</t>
  </si>
  <si>
    <t>(4)  Because g equals the risk-free rate, the spread reduces to beta x ERP and the risk-free rate cancels. The target price is therefore invariant to</t>
  </si>
  <si>
    <t xml:space="preserve">      whether the ten-year sits at 4.45% or at the ACCM forecast of 4.90% - the equity call does not depend on the rate call.</t>
  </si>
  <si>
    <t>(5)  g = ROE x retention = 17% x 34.6% = 5.9%, close to nominal GDP growth. The valuation uses 4.45%, a deliberate conservatism of roughly a point and</t>
  </si>
  <si>
    <t xml:space="preserve">      a half. See the Method sheet.</t>
  </si>
  <si>
    <t>(6)  The target accretes at the growth rate, not at the cost of equity. In a constant growth model V1 equals V0 times one plus g, so the price grows</t>
  </si>
  <si>
    <t xml:space="preserve">      at g while the total return to a holder is g plus the distribution yield, which equals Ke. Rolling a price target forward at Ke would count the</t>
  </si>
  <si>
    <t xml:space="preserve">      dividend twice.</t>
  </si>
  <si>
    <t>Scenarios and Sensitivity</t>
  </si>
  <si>
    <t>JPMorgan Chase - Dividend Growth Model</t>
  </si>
  <si>
    <t>SCENARIOS</t>
  </si>
  <si>
    <t>Scenario</t>
  </si>
  <si>
    <t>Net income ($M)</t>
  </si>
  <si>
    <t>Payout</t>
  </si>
  <si>
    <t>Cash/share</t>
  </si>
  <si>
    <t>Value start FY26</t>
  </si>
  <si>
    <t>Target</t>
  </si>
  <si>
    <t>vs. purchase</t>
  </si>
  <si>
    <t>Bear - credit overshoot</t>
  </si>
  <si>
    <t>Base - consensus, 5-yr avg payout</t>
  </si>
  <si>
    <t>Bull - capital return accelerates</t>
  </si>
  <si>
    <t>(1)  Earnings and payout vary. Cost of equity and growth are held constant, so the range isolates fundamental risk rather than</t>
  </si>
  <si>
    <t>discount-rate risk. The bear payout of 55% is what JPM actually distributed in 2022-23 under tighter capital requirements; the bull 73% is what it ran</t>
  </si>
  <si>
    <t>across 2024-25. Base case ruled.</t>
  </si>
  <si>
    <t>SENSITIVITY  -  target price ($ per share)</t>
  </si>
  <si>
    <t>Ke  \  g</t>
  </si>
  <si>
    <t>(2)  Base case boxed. Value depends far more on the spread between Ke and g than on the level of either, which is the characteristic</t>
  </si>
  <si>
    <t>constant-growth model. Narrowing the 4.43 point spread by half a point raises the target roughly twelve percent. This is the largest single source of</t>
  </si>
  <si>
    <t>model risk.</t>
  </si>
  <si>
    <t>Method, Sources and Limitations</t>
  </si>
  <si>
    <t>Why total payout rather than dividends alone</t>
  </si>
  <si>
    <t>JPMorgan returned $48.2 billion to shareholders in FY2025, of which $16.6 billion was dividends and $31.6 billion net repurchase. A dividend-only</t>
  </si>
  <si>
    <t>model would capture roughly a third of the cash actually returned and would materially undervalue the company. The payout ratio is volatile year to</t>
  </si>
  <si>
    <t>year because buyback is discretionary and capital-regulation dependent, which is why a five-year average is used rather than the latest year - FY2025</t>
  </si>
  <si>
    <t>alone implies an 86% payout, well above what is sustainable through a credit cycle.</t>
  </si>
  <si>
    <t>Why the growth rate is set to the risk-free rate</t>
  </si>
  <si>
    <t>A mature, diversified bank of systemic scale cannot durably outgrow the nominal economy it lends into: loan demand, deposit balances, card volumes and</t>
  </si>
  <si>
    <t>payment flows all scale with nominal activity. The standard proxy for long-run nominal growth in a valuation context is the long bond yield. The</t>
  </si>
  <si>
    <t>sustainable growth identity provides the cross-check: g = ROE x retention = 17% x 34.6% = 5.9%, close to nominal GDP growth, which is exactly the</t>
  </si>
  <si>
    <t>premise the valuation rests on. Retained capital is not idle - it funds loan growth, absorbs the capital requirement that comes with a larger balance</t>
  </si>
  <si>
    <t>sheet, supports the technology and AI investment running through the expense line, and rebuilds the buffer that lets the buyback continue through a</t>
  </si>
  <si>
    <t>credit cycle. Using 4.45% rather than 5.9% is a deliberate conservatism of roughly a point and a half.</t>
  </si>
  <si>
    <t>Subsequent event - June 24, 2026</t>
  </si>
  <si>
    <t>Following the 2026 stress test, which JPMorgan passed with a 14.3% Tier 1 common equity ratio, the company announced a $50 billion repurchase</t>
  </si>
  <si>
    <t>authorisation and raised the dividend. This shifts probability toward the bull case: the binding constraint in the bear scenario is regulatory</t>
  </si>
  <si>
    <t>capital, and the stress test result relieves it. The base case is deliberately not restated, because the position was taken on 1 June and the recorded</t>
  </si>
  <si>
    <t>valuation should reflect the information available then.</t>
  </si>
  <si>
    <t>DATA</t>
  </si>
  <si>
    <t>Source / date</t>
  </si>
  <si>
    <t>Share price at purchase  $299.31</t>
  </si>
  <si>
    <t>Market close, May 29, 2026</t>
  </si>
  <si>
    <t>Equity risk premium  4.48%</t>
  </si>
  <si>
    <t>Damodaran implied ERP, May 2026</t>
  </si>
  <si>
    <t>Beta (adjusted)  0.988</t>
  </si>
  <si>
    <t>Ten-year Treasury  4.45%</t>
  </si>
  <si>
    <t>Market level, June 1, 2026</t>
  </si>
  <si>
    <t>FY2026 operating net income  $60,485.5M</t>
  </si>
  <si>
    <t>Diluted shares  2,781.5M</t>
  </si>
  <si>
    <t>JPM Form 10-K, FY2025</t>
  </si>
  <si>
    <t>Payout history  FY2021-FY2025</t>
  </si>
  <si>
    <t>JPM cash flow statements via Bloomberg</t>
  </si>
  <si>
    <t>Return on equity  17%</t>
  </si>
  <si>
    <t>Analyst consensus  4.1/5, $348 target</t>
  </si>
  <si>
    <t>Bloomberg ANR, 38 analysts, July 6, 2026</t>
  </si>
  <si>
    <t>Capital return announcement  $50B buyback</t>
  </si>
  <si>
    <t>JPM release following CCAR, June 24, 2026</t>
  </si>
  <si>
    <t>KEY ASSUMPTIONS AND SENSITIVITIES</t>
  </si>
  <si>
    <t>Sensitivity to the capitalization spread</t>
  </si>
  <si>
    <t xml:space="preserve">     Value is a function of one over (Ke - g). At a 4.43 point spread, a half-point narrowing raises the target roughly twelve percent. Small</t>
  </si>
  <si>
    <t xml:space="preserve">     changes in beta or the ERP transmit directly. Largest single source of model risk.</t>
  </si>
  <si>
    <t>The payout ratio is discretionary</t>
  </si>
  <si>
    <t xml:space="preserve">     Buyback is the swing component, set by capital requirements and management judgment rather than by rule. The five-year average spans both</t>
  </si>
  <si>
    <t xml:space="preserve">     the 2022-23 tightening and the 2024-25 acceleration.</t>
  </si>
  <si>
    <t>Earnings are consensus, not modeled</t>
  </si>
  <si>
    <t xml:space="preserve">     FY2026 net income is taken from Bloomberg consensus rather than built from an NII and fee forecast, so the valuation inherits any bias in</t>
  </si>
  <si>
    <t xml:space="preserve">     the Street estimate.</t>
  </si>
  <si>
    <t>RISKS TO THE THESIS</t>
  </si>
  <si>
    <t>Credit normalization overshooting</t>
  </si>
  <si>
    <t xml:space="preserve">     Provisions have roughly doubled since 2023 on card seasoning. The base case treats this as normalization, not deterioration.</t>
  </si>
  <si>
    <t>Capital markets reverting to mid-cycle</t>
  </si>
  <si>
    <t xml:space="preserve">     IB and Markets revenues are running at elevated levels and carry roughly half the modeled payout.</t>
  </si>
  <si>
    <t>Sustained negative operating leverage</t>
  </si>
  <si>
    <t xml:space="preserve">     FY2026 expense guidance, driven by technology and AI investment, caused the spring pullback in the shares.</t>
  </si>
  <si>
    <t>Two-sided rate risk</t>
  </si>
  <si>
    <t xml:space="preserve">     Rapid easing compresses net interest income; a disorderly rise pressures credit and securities marks.</t>
  </si>
  <si>
    <t>CEO succession</t>
  </si>
  <si>
    <t xml:space="preserve">     Idiosyncratic governance risk at a firm closely identified with its chief executive.</t>
  </si>
  <si>
    <t>CELL CONVENTIONS</t>
  </si>
  <si>
    <t>Blue font</t>
  </si>
  <si>
    <t>Hard input - a data point or stated assumption</t>
  </si>
  <si>
    <t>Black font</t>
  </si>
  <si>
    <t>Formula calculated on this sheet</t>
  </si>
  <si>
    <t>Green font</t>
  </si>
  <si>
    <t>Link to another sheet in this workbook</t>
  </si>
  <si>
    <t>Angel City Capital Management is a fictitious firm created for FRL 6950. Graduate coursework; not investment advice.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</si>
</sst>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;\(#,##0\)"/>
    <numFmt numFmtId="165" formatCode="0.0%"/>
    <numFmt numFmtId="166" formatCode="#,##0.0"/>
    <numFmt numFmtId="167" formatCode="0.000"/>
    <numFmt numFmtId="168" formatCode="\$#,##0.00"/>
    <numFmt numFmtId="169" formatCode="\+0.0%;\-0.0%"/>
    <numFmt numFmtId="170" formatCode="\$#,##0"/>
  </numFmts>
  <fonts count="18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6"/>
      <color rgb="FF1F3553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9"/>
      <color rgb="FF000000"/>
      <name val="Arial"/>
      <family val="2"/>
    </font>
    <font>
      <b/>
      <sz val="10.5"/>
      <color rgb="FF1F3553"/>
      <name val="Arial"/>
      <family val="2"/>
    </font>
    <font>
      <b/>
      <sz val="9"/>
      <name val="Arial"/>
      <family val="2"/>
    </font>
    <font>
      <sz val="10"/>
      <color rgb="FF0000CC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1"/>
      <name val="Arial"/>
      <family val="2"/>
    </font>
    <font>
      <b/>
      <sz val="10"/>
      <color rgb="FF1F3553"/>
      <name val="Arial"/>
      <family val="2"/>
    </font>
    <font>
      <sz val="9"/>
      <name val="Arial"/>
      <family val="2"/>
    </font>
    <font>
      <b/>
      <sz val="14"/>
      <color rgb="FF1F3553"/>
      <name val="Arial"/>
      <family val="2"/>
    </font>
    <font>
      <sz val="9"/>
      <color rgb="FF555555"/>
      <name val="Arial"/>
      <family val="2"/>
    </font>
    <font>
      <sz val="10"/>
      <color rgb="FF00660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rgb="FF1F3553"/>
      </bottom>
      <diagonal/>
    </border>
    <border>
      <left/>
      <right/>
      <top/>
      <bottom style="medium">
        <color rgb="FF1F3553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hair">
        <color rgb="FFAAAAAA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1" xfId="0" applyFont="1" applyBorder="1"/>
    <xf numFmtId="0" fontId="3" fillId="0" borderId="1" xfId="0" applyFont="1" applyBorder="1"/>
    <xf numFmtId="0" fontId="7" fillId="0" borderId="2" xfId="0" applyFont="1" applyBorder="1"/>
    <xf numFmtId="164" fontId="8" fillId="0" borderId="0" xfId="0" applyNumberFormat="1" applyFont="1"/>
    <xf numFmtId="0" fontId="1" fillId="0" borderId="0" xfId="0" applyFont="1"/>
    <xf numFmtId="0" fontId="9" fillId="0" borderId="3" xfId="0" applyFont="1" applyBorder="1"/>
    <xf numFmtId="164" fontId="9" fillId="0" borderId="3" xfId="0" applyNumberFormat="1" applyFont="1" applyBorder="1"/>
    <xf numFmtId="0" fontId="3" fillId="0" borderId="3" xfId="0" applyFont="1" applyBorder="1"/>
    <xf numFmtId="0" fontId="9" fillId="0" borderId="4" xfId="0" applyFont="1" applyBorder="1"/>
    <xf numFmtId="165" fontId="9" fillId="0" borderId="4" xfId="0" applyNumberFormat="1" applyFont="1" applyBorder="1"/>
    <xf numFmtId="0" fontId="3" fillId="0" borderId="4" xfId="0" applyFont="1" applyBorder="1"/>
    <xf numFmtId="166" fontId="8" fillId="0" borderId="0" xfId="0" applyNumberFormat="1" applyFont="1"/>
    <xf numFmtId="10" fontId="9" fillId="0" borderId="4" xfId="0" applyNumberFormat="1" applyFont="1" applyBorder="1"/>
    <xf numFmtId="0" fontId="5" fillId="0" borderId="4" xfId="0" applyFont="1" applyBorder="1"/>
    <xf numFmtId="10" fontId="10" fillId="0" borderId="0" xfId="0" applyNumberFormat="1" applyFont="1"/>
    <xf numFmtId="10" fontId="8" fillId="0" borderId="0" xfId="0" applyNumberFormat="1" applyFont="1"/>
    <xf numFmtId="167" fontId="8" fillId="0" borderId="0" xfId="0" applyNumberFormat="1" applyFont="1"/>
    <xf numFmtId="3" fontId="8" fillId="0" borderId="0" xfId="0" applyNumberFormat="1" applyFont="1"/>
    <xf numFmtId="165" fontId="8" fillId="0" borderId="0" xfId="0" applyNumberFormat="1" applyFont="1"/>
    <xf numFmtId="3" fontId="10" fillId="0" borderId="0" xfId="0" applyNumberFormat="1" applyFont="1"/>
    <xf numFmtId="168" fontId="10" fillId="0" borderId="0" xfId="0" applyNumberFormat="1" applyFont="1"/>
    <xf numFmtId="1" fontId="11" fillId="0" borderId="0" xfId="0" applyNumberFormat="1" applyFont="1"/>
    <xf numFmtId="168" fontId="9" fillId="0" borderId="4" xfId="0" applyNumberFormat="1" applyFont="1" applyBorder="1"/>
    <xf numFmtId="168" fontId="8" fillId="0" borderId="0" xfId="0" applyNumberFormat="1" applyFont="1"/>
    <xf numFmtId="169" fontId="10" fillId="0" borderId="0" xfId="0" applyNumberFormat="1" applyFont="1"/>
    <xf numFmtId="165" fontId="10" fillId="0" borderId="0" xfId="0" applyNumberFormat="1" applyFont="1"/>
    <xf numFmtId="169" fontId="9" fillId="0" borderId="4" xfId="0" applyNumberFormat="1" applyFont="1" applyBorder="1"/>
    <xf numFmtId="0" fontId="12" fillId="0" borderId="0" xfId="0" applyFont="1"/>
    <xf numFmtId="0" fontId="13" fillId="0" borderId="1" xfId="0" applyFont="1" applyBorder="1"/>
    <xf numFmtId="0" fontId="14" fillId="0" borderId="0" xfId="0" applyFont="1"/>
    <xf numFmtId="0" fontId="15" fillId="0" borderId="0" xfId="0" applyFont="1"/>
    <xf numFmtId="0" fontId="16" fillId="0" borderId="0" xfId="0" applyFont="1"/>
    <xf numFmtId="3" fontId="1" fillId="0" borderId="0" xfId="0" applyNumberFormat="1" applyFont="1"/>
    <xf numFmtId="168" fontId="1" fillId="0" borderId="0" xfId="0" applyNumberFormat="1" applyFont="1"/>
    <xf numFmtId="170" fontId="1" fillId="0" borderId="0" xfId="0" applyNumberFormat="1" applyFont="1"/>
    <xf numFmtId="170" fontId="9" fillId="0" borderId="0" xfId="0" applyNumberFormat="1" applyFont="1"/>
    <xf numFmtId="169" fontId="1" fillId="0" borderId="0" xfId="0" applyNumberFormat="1" applyFont="1"/>
    <xf numFmtId="3" fontId="9" fillId="0" borderId="4" xfId="0" applyNumberFormat="1" applyFont="1" applyBorder="1"/>
    <xf numFmtId="10" fontId="17" fillId="0" borderId="4" xfId="0" applyNumberFormat="1" applyFont="1" applyBorder="1"/>
    <xf numFmtId="170" fontId="9" fillId="0" borderId="4" xfId="0" applyNumberFormat="1" applyFont="1" applyBorder="1"/>
    <xf numFmtId="10" fontId="7" fillId="0" borderId="2" xfId="0" applyNumberFormat="1" applyFont="1" applyBorder="1"/>
    <xf numFmtId="10" fontId="7" fillId="0" borderId="0" xfId="0" applyNumberFormat="1" applyFont="1"/>
    <xf numFmtId="170" fontId="3" fillId="0" borderId="0" xfId="0" applyNumberFormat="1" applyFont="1"/>
    <xf numFmtId="170" fontId="9" fillId="0" borderId="5" xfId="0" applyNumberFormat="1" applyFont="1" applyBorder="1"/>
    <xf numFmtId="0" fontId="13" fillId="0" borderId="0" xfId="0" applyFont="1"/>
    <xf numFmtId="0" fontId="7" fillId="0" borderId="6" xfId="0" applyFont="1" applyBorder="1"/>
    <xf numFmtId="0" fontId="14" fillId="0" borderId="6" xfId="0" applyFont="1" applyBorder="1"/>
    <xf numFmtId="0" fontId="7" fillId="0" borderId="0" xfId="0" applyFont="1"/>
    <xf numFmtId="0" fontId="8" fillId="0" borderId="0" xfId="0" applyFont="1"/>
    <xf numFmtId="0" fontId="10" fillId="0" borderId="0" xfId="0" applyFont="1"/>
    <xf numFmtId="0" fontId="1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CC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1F355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"/>
  <sheetViews>
    <sheetView tabSelected="1" zoomScaleNormal="100" workbookViewId="0">
      <selection activeCell="F20" sqref="F20"/>
    </sheetView>
  </sheetViews>
  <sheetFormatPr defaultColWidth="8.6328125" defaultRowHeight="14" x14ac:dyDescent="0.3"/>
  <cols>
    <col min="1" max="1" width="40" style="2" customWidth="1"/>
    <col min="2" max="2" width="17" style="2" customWidth="1"/>
    <col min="3" max="6" width="15" style="2" customWidth="1"/>
    <col min="7" max="7" width="44" style="2" customWidth="1"/>
    <col min="8" max="16384" width="8.6328125" style="2"/>
  </cols>
  <sheetData>
    <row r="1" spans="1:7" ht="21" customHeight="1" x14ac:dyDescent="0.4">
      <c r="A1" s="1" t="s">
        <v>0</v>
      </c>
    </row>
    <row r="2" spans="1:7" ht="14.25" customHeight="1" x14ac:dyDescent="0.3">
      <c r="A2" s="3" t="s">
        <v>1</v>
      </c>
    </row>
    <row r="3" spans="1:7" ht="14.25" customHeight="1" x14ac:dyDescent="0.3">
      <c r="A3" s="4" t="s">
        <v>2</v>
      </c>
    </row>
    <row r="5" spans="1:7" ht="14.25" customHeight="1" x14ac:dyDescent="0.3">
      <c r="A5" s="5" t="s">
        <v>3</v>
      </c>
      <c r="B5" s="6"/>
      <c r="C5" s="6"/>
      <c r="D5" s="6"/>
      <c r="E5" s="6"/>
      <c r="F5" s="6"/>
      <c r="G5" s="6"/>
    </row>
    <row r="6" spans="1:7" ht="14.25" customHeight="1" x14ac:dyDescent="0.3">
      <c r="A6" s="7" t="s">
        <v>4</v>
      </c>
      <c r="B6" s="7" t="s">
        <v>5</v>
      </c>
      <c r="C6" s="7" t="s">
        <v>6</v>
      </c>
      <c r="D6" s="7" t="s">
        <v>7</v>
      </c>
      <c r="E6" s="7" t="s">
        <v>8</v>
      </c>
      <c r="F6" s="7" t="s">
        <v>9</v>
      </c>
      <c r="G6" s="7" t="s">
        <v>10</v>
      </c>
    </row>
    <row r="7" spans="1:7" ht="14.25" customHeight="1" x14ac:dyDescent="0.3">
      <c r="A7" s="3" t="s">
        <v>11</v>
      </c>
      <c r="B7" s="8">
        <v>12858</v>
      </c>
      <c r="C7" s="8">
        <v>13562</v>
      </c>
      <c r="D7" s="8">
        <v>13463</v>
      </c>
      <c r="E7" s="8">
        <v>14783</v>
      </c>
      <c r="F7" s="8">
        <v>16625</v>
      </c>
      <c r="G7" s="4" t="s">
        <v>12</v>
      </c>
    </row>
    <row r="8" spans="1:7" ht="14.25" customHeight="1" x14ac:dyDescent="0.3">
      <c r="A8" s="9" t="s">
        <v>13</v>
      </c>
      <c r="B8" s="8">
        <v>20983</v>
      </c>
      <c r="C8" s="8">
        <v>10596</v>
      </c>
      <c r="D8" s="8">
        <v>9824</v>
      </c>
      <c r="E8" s="8">
        <v>28680</v>
      </c>
      <c r="F8" s="8">
        <v>34591</v>
      </c>
      <c r="G8" s="4" t="s">
        <v>12</v>
      </c>
    </row>
    <row r="9" spans="1:7" ht="14.25" customHeight="1" x14ac:dyDescent="0.3">
      <c r="A9" s="9" t="s">
        <v>14</v>
      </c>
      <c r="B9" s="8">
        <v>-7350</v>
      </c>
      <c r="C9" s="8">
        <v>0</v>
      </c>
      <c r="D9" s="8">
        <v>0</v>
      </c>
      <c r="E9" s="8">
        <v>-2500</v>
      </c>
      <c r="F9" s="8">
        <v>-3000</v>
      </c>
      <c r="G9" s="4" t="s">
        <v>12</v>
      </c>
    </row>
    <row r="10" spans="1:7" ht="14.25" customHeight="1" x14ac:dyDescent="0.3">
      <c r="A10" s="10" t="s">
        <v>15</v>
      </c>
      <c r="B10" s="11">
        <f>SUM(B7:B9)</f>
        <v>26491</v>
      </c>
      <c r="C10" s="11">
        <f>SUM(C7:C9)</f>
        <v>24158</v>
      </c>
      <c r="D10" s="11">
        <f>SUM(D7:D9)</f>
        <v>23287</v>
      </c>
      <c r="E10" s="11">
        <f>SUM(E7:E9)</f>
        <v>40963</v>
      </c>
      <c r="F10" s="11">
        <f>SUM(F7:F9)</f>
        <v>48216</v>
      </c>
      <c r="G10" s="12"/>
    </row>
    <row r="11" spans="1:7" ht="14.25" customHeight="1" x14ac:dyDescent="0.3">
      <c r="A11" s="9" t="s">
        <v>16</v>
      </c>
      <c r="B11" s="8">
        <v>46839.54</v>
      </c>
      <c r="C11" s="8">
        <v>36762.58</v>
      </c>
      <c r="D11" s="8">
        <v>49087.199999999997</v>
      </c>
      <c r="E11" s="8">
        <v>57645.36</v>
      </c>
      <c r="F11" s="8">
        <v>56015.96</v>
      </c>
      <c r="G11" s="4" t="s">
        <v>17</v>
      </c>
    </row>
    <row r="12" spans="1:7" ht="14.25" customHeight="1" x14ac:dyDescent="0.3">
      <c r="A12" s="13" t="s">
        <v>18</v>
      </c>
      <c r="B12" s="14">
        <f>B10/B11</f>
        <v>0.56556917510291516</v>
      </c>
      <c r="C12" s="14">
        <f>C10/C11</f>
        <v>0.65713559820883083</v>
      </c>
      <c r="D12" s="14">
        <f>D10/D11</f>
        <v>0.47440065842011769</v>
      </c>
      <c r="E12" s="14">
        <f>E10/E11</f>
        <v>0.71060359411407958</v>
      </c>
      <c r="F12" s="14">
        <f>F10/F11</f>
        <v>0.86075468491479934</v>
      </c>
      <c r="G12" s="15"/>
    </row>
    <row r="13" spans="1:7" ht="14.25" customHeight="1" x14ac:dyDescent="0.3">
      <c r="A13" s="9" t="s">
        <v>19</v>
      </c>
      <c r="B13" s="16">
        <v>3026.6</v>
      </c>
      <c r="C13" s="16">
        <v>2970</v>
      </c>
      <c r="D13" s="16">
        <v>2943.1</v>
      </c>
      <c r="E13" s="16">
        <v>2879</v>
      </c>
      <c r="F13" s="16">
        <v>2781.5</v>
      </c>
      <c r="G13" s="4" t="s">
        <v>20</v>
      </c>
    </row>
    <row r="15" spans="1:7" ht="14.25" customHeight="1" x14ac:dyDescent="0.3">
      <c r="A15" s="5" t="s">
        <v>21</v>
      </c>
      <c r="B15" s="6"/>
      <c r="C15" s="6"/>
    </row>
    <row r="16" spans="1:7" ht="14.25" customHeight="1" x14ac:dyDescent="0.3">
      <c r="A16" s="7" t="s">
        <v>22</v>
      </c>
      <c r="B16" s="7" t="s">
        <v>23</v>
      </c>
      <c r="C16" s="7" t="s">
        <v>10</v>
      </c>
    </row>
    <row r="17" spans="1:3" ht="14.25" customHeight="1" x14ac:dyDescent="0.3">
      <c r="A17" s="13" t="s">
        <v>24</v>
      </c>
      <c r="B17" s="17">
        <f>AVERAGE(B12:F12)</f>
        <v>0.65369274215214845</v>
      </c>
      <c r="C17" s="18" t="s">
        <v>25</v>
      </c>
    </row>
    <row r="18" spans="1:3" ht="14.25" customHeight="1" x14ac:dyDescent="0.3">
      <c r="A18" s="9" t="s">
        <v>26</v>
      </c>
      <c r="B18" s="19">
        <f>1-B17</f>
        <v>0.34630725784785155</v>
      </c>
      <c r="C18" s="4"/>
    </row>
    <row r="19" spans="1:3" ht="14.25" customHeight="1" x14ac:dyDescent="0.3">
      <c r="A19" s="9" t="s">
        <v>27</v>
      </c>
      <c r="B19" s="20">
        <v>4.4499999999999998E-2</v>
      </c>
      <c r="C19" s="4" t="s">
        <v>28</v>
      </c>
    </row>
    <row r="20" spans="1:3" ht="14.25" customHeight="1" x14ac:dyDescent="0.3">
      <c r="A20" s="9" t="s">
        <v>29</v>
      </c>
      <c r="B20" s="21">
        <v>0.98799999999999999</v>
      </c>
      <c r="C20" s="4" t="s">
        <v>30</v>
      </c>
    </row>
    <row r="21" spans="1:3" ht="14.25" customHeight="1" x14ac:dyDescent="0.3">
      <c r="A21" s="9" t="s">
        <v>31</v>
      </c>
      <c r="B21" s="20">
        <v>4.48E-2</v>
      </c>
      <c r="C21" s="4" t="s">
        <v>32</v>
      </c>
    </row>
    <row r="22" spans="1:3" ht="14.25" customHeight="1" x14ac:dyDescent="0.3">
      <c r="A22" s="9" t="s">
        <v>33</v>
      </c>
      <c r="B22" s="22">
        <v>60485.54</v>
      </c>
      <c r="C22" s="4" t="s">
        <v>34</v>
      </c>
    </row>
    <row r="23" spans="1:3" ht="14.25" customHeight="1" x14ac:dyDescent="0.3">
      <c r="A23" s="9" t="s">
        <v>35</v>
      </c>
      <c r="B23" s="23">
        <v>0.17</v>
      </c>
      <c r="C23" s="4" t="s">
        <v>36</v>
      </c>
    </row>
    <row r="25" spans="1:3" ht="14.25" customHeight="1" x14ac:dyDescent="0.3">
      <c r="A25" s="5" t="s">
        <v>37</v>
      </c>
      <c r="B25" s="6"/>
      <c r="C25" s="6"/>
    </row>
    <row r="26" spans="1:3" ht="14.25" customHeight="1" x14ac:dyDescent="0.3">
      <c r="A26" s="7" t="s">
        <v>4</v>
      </c>
      <c r="B26" s="7" t="s">
        <v>23</v>
      </c>
      <c r="C26" s="7" t="s">
        <v>10</v>
      </c>
    </row>
    <row r="27" spans="1:3" ht="14.25" customHeight="1" x14ac:dyDescent="0.3">
      <c r="A27" s="13" t="s">
        <v>38</v>
      </c>
      <c r="B27" s="17">
        <f>B19+B20*B21</f>
        <v>8.8762399999999991E-2</v>
      </c>
      <c r="C27" s="18" t="s">
        <v>39</v>
      </c>
    </row>
    <row r="28" spans="1:3" ht="14.25" customHeight="1" x14ac:dyDescent="0.3">
      <c r="A28" s="9" t="s">
        <v>40</v>
      </c>
      <c r="B28" s="20">
        <v>4.4499999999999998E-2</v>
      </c>
      <c r="C28" s="4" t="s">
        <v>41</v>
      </c>
    </row>
    <row r="29" spans="1:3" ht="14.25" customHeight="1" x14ac:dyDescent="0.3">
      <c r="A29" s="9" t="s">
        <v>42</v>
      </c>
      <c r="B29" s="19">
        <f>B27-B28</f>
        <v>4.4262399999999993E-2</v>
      </c>
      <c r="C29" s="4" t="s">
        <v>43</v>
      </c>
    </row>
    <row r="30" spans="1:3" ht="14.25" customHeight="1" x14ac:dyDescent="0.3">
      <c r="A30" s="9" t="s">
        <v>44</v>
      </c>
      <c r="B30" s="19">
        <f>B20*B21</f>
        <v>4.42624E-2</v>
      </c>
      <c r="C30" s="4" t="s">
        <v>45</v>
      </c>
    </row>
    <row r="31" spans="1:3" ht="14.25" customHeight="1" x14ac:dyDescent="0.3">
      <c r="A31" s="9" t="s">
        <v>46</v>
      </c>
      <c r="B31" s="19">
        <f>B23*B18</f>
        <v>5.8872233834134764E-2</v>
      </c>
      <c r="C31" s="4" t="s">
        <v>47</v>
      </c>
    </row>
    <row r="34" spans="1:3" ht="14.25" customHeight="1" x14ac:dyDescent="0.3">
      <c r="A34" s="5" t="s">
        <v>48</v>
      </c>
      <c r="B34" s="6"/>
      <c r="C34" s="6"/>
    </row>
    <row r="35" spans="1:3" ht="14.25" customHeight="1" x14ac:dyDescent="0.3">
      <c r="A35" s="7" t="s">
        <v>4</v>
      </c>
      <c r="B35" s="7" t="s">
        <v>23</v>
      </c>
      <c r="C35" s="7" t="s">
        <v>10</v>
      </c>
    </row>
    <row r="36" spans="1:3" ht="14.25" customHeight="1" x14ac:dyDescent="0.3">
      <c r="A36" s="9" t="s">
        <v>49</v>
      </c>
      <c r="B36" s="24">
        <f>B22*B17</f>
        <v>39538.958503153459</v>
      </c>
      <c r="C36" s="4"/>
    </row>
    <row r="37" spans="1:3" ht="14.25" customHeight="1" x14ac:dyDescent="0.3">
      <c r="A37" s="9" t="s">
        <v>50</v>
      </c>
      <c r="B37" s="25">
        <f>B36/F13</f>
        <v>14.214976991966012</v>
      </c>
      <c r="C37" s="4" t="s">
        <v>51</v>
      </c>
    </row>
    <row r="38" spans="1:3" ht="14.25" customHeight="1" x14ac:dyDescent="0.3">
      <c r="A38" s="9" t="s">
        <v>52</v>
      </c>
      <c r="B38" s="25">
        <f>B37/B29</f>
        <v>321.1524226423785</v>
      </c>
      <c r="C38" s="4" t="s">
        <v>53</v>
      </c>
    </row>
    <row r="39" spans="1:3" ht="14.25" customHeight="1" x14ac:dyDescent="0.3">
      <c r="A39" s="9" t="s">
        <v>54</v>
      </c>
      <c r="B39" s="26">
        <v>17</v>
      </c>
      <c r="C39" s="4" t="s">
        <v>55</v>
      </c>
    </row>
    <row r="40" spans="1:3" ht="14.25" customHeight="1" x14ac:dyDescent="0.3">
      <c r="A40" s="13" t="s">
        <v>56</v>
      </c>
      <c r="B40" s="27">
        <f>B38*(1+B28)^(B39/12)</f>
        <v>341.58450762836458</v>
      </c>
      <c r="C40" s="18" t="s">
        <v>57</v>
      </c>
    </row>
    <row r="42" spans="1:3" ht="14.25" customHeight="1" x14ac:dyDescent="0.3">
      <c r="A42" s="5" t="s">
        <v>58</v>
      </c>
      <c r="B42" s="6"/>
      <c r="C42" s="6"/>
    </row>
    <row r="43" spans="1:3" ht="14.25" customHeight="1" x14ac:dyDescent="0.3">
      <c r="A43" s="7" t="s">
        <v>4</v>
      </c>
      <c r="B43" s="7" t="s">
        <v>23</v>
      </c>
      <c r="C43" s="7" t="s">
        <v>10</v>
      </c>
    </row>
    <row r="44" spans="1:3" ht="14.25" customHeight="1" x14ac:dyDescent="0.3">
      <c r="A44" s="9" t="s">
        <v>59</v>
      </c>
      <c r="B44" s="28">
        <v>299.31</v>
      </c>
      <c r="C44" s="4" t="s">
        <v>60</v>
      </c>
    </row>
    <row r="45" spans="1:3" ht="14.25" customHeight="1" x14ac:dyDescent="0.3">
      <c r="A45" s="9" t="s">
        <v>61</v>
      </c>
      <c r="B45" s="29">
        <f>B40/B44-1</f>
        <v>0.14123987714531605</v>
      </c>
      <c r="C45" s="4"/>
    </row>
    <row r="46" spans="1:3" ht="14.25" customHeight="1" x14ac:dyDescent="0.3">
      <c r="A46" s="9" t="s">
        <v>62</v>
      </c>
      <c r="B46" s="30">
        <f>F7/F13/B44</f>
        <v>1.9969232007900635E-2</v>
      </c>
      <c r="C46" s="4" t="s">
        <v>63</v>
      </c>
    </row>
    <row r="47" spans="1:3" ht="14.25" customHeight="1" x14ac:dyDescent="0.3">
      <c r="A47" s="13" t="s">
        <v>64</v>
      </c>
      <c r="B47" s="31">
        <f>B45+B46</f>
        <v>0.16120910915321668</v>
      </c>
      <c r="C47" s="18"/>
    </row>
    <row r="48" spans="1:3" ht="14.25" customHeight="1" x14ac:dyDescent="0.3">
      <c r="A48" s="32" t="s">
        <v>65</v>
      </c>
      <c r="B48" s="32" t="s">
        <v>66</v>
      </c>
      <c r="C48" s="4" t="s">
        <v>67</v>
      </c>
    </row>
    <row r="50" spans="1:7" ht="14.25" customHeight="1" x14ac:dyDescent="0.3">
      <c r="A50" s="33" t="s">
        <v>68</v>
      </c>
      <c r="B50" s="6"/>
      <c r="C50" s="6"/>
      <c r="D50" s="6"/>
      <c r="E50" s="6"/>
      <c r="F50" s="6"/>
      <c r="G50" s="6"/>
    </row>
    <row r="51" spans="1:7" ht="14.25" customHeight="1" x14ac:dyDescent="0.3">
      <c r="A51" s="34" t="s">
        <v>69</v>
      </c>
    </row>
    <row r="52" spans="1:7" ht="14.25" customHeight="1" x14ac:dyDescent="0.3">
      <c r="A52" s="34" t="s">
        <v>70</v>
      </c>
    </row>
    <row r="53" spans="1:7" ht="14.25" customHeight="1" x14ac:dyDescent="0.3">
      <c r="A53" s="34" t="s">
        <v>71</v>
      </c>
    </row>
    <row r="54" spans="1:7" ht="14.25" customHeight="1" x14ac:dyDescent="0.3">
      <c r="A54" s="34" t="s">
        <v>72</v>
      </c>
    </row>
    <row r="55" spans="1:7" ht="14.25" customHeight="1" x14ac:dyDescent="0.3">
      <c r="A55" s="34" t="s">
        <v>73</v>
      </c>
    </row>
    <row r="56" spans="1:7" ht="14.25" customHeight="1" x14ac:dyDescent="0.3">
      <c r="A56" s="34" t="s">
        <v>74</v>
      </c>
    </row>
    <row r="57" spans="1:7" ht="14.25" customHeight="1" x14ac:dyDescent="0.3">
      <c r="A57" s="34" t="s">
        <v>75</v>
      </c>
    </row>
    <row r="58" spans="1:7" ht="14.25" customHeight="1" x14ac:dyDescent="0.3">
      <c r="A58" s="34" t="s">
        <v>76</v>
      </c>
    </row>
    <row r="59" spans="1:7" ht="14.25" customHeight="1" x14ac:dyDescent="0.3">
      <c r="A59" s="34" t="s">
        <v>77</v>
      </c>
    </row>
    <row r="60" spans="1:7" ht="14.25" customHeight="1" x14ac:dyDescent="0.3">
      <c r="A60" s="34" t="s">
        <v>78</v>
      </c>
    </row>
    <row r="61" spans="1:7" ht="14.25" customHeight="1" x14ac:dyDescent="0.3">
      <c r="A61" s="34" t="s">
        <v>79</v>
      </c>
    </row>
    <row r="62" spans="1:7" ht="14.25" customHeight="1" x14ac:dyDescent="0.3">
      <c r="A62" s="34" t="s">
        <v>80</v>
      </c>
    </row>
    <row r="63" spans="1:7" ht="14.25" customHeight="1" x14ac:dyDescent="0.3">
      <c r="A63" s="34" t="s">
        <v>81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"/>
  <sheetViews>
    <sheetView zoomScaleNormal="100" workbookViewId="0">
      <selection sqref="A1:XFD1048576"/>
    </sheetView>
  </sheetViews>
  <sheetFormatPr defaultColWidth="8.6328125" defaultRowHeight="14" x14ac:dyDescent="0.3"/>
  <cols>
    <col min="1" max="1" width="36" style="2" customWidth="1"/>
    <col min="2" max="2" width="18" style="2" customWidth="1"/>
    <col min="3" max="3" width="14" style="2" customWidth="1"/>
    <col min="4" max="4" width="16" style="2" customWidth="1"/>
    <col min="5" max="5" width="18" style="2" customWidth="1"/>
    <col min="6" max="7" width="14" style="2" customWidth="1"/>
    <col min="8" max="16384" width="8.6328125" style="2"/>
  </cols>
  <sheetData>
    <row r="1" spans="1:7" ht="18" customHeight="1" x14ac:dyDescent="0.4">
      <c r="A1" s="35" t="s">
        <v>82</v>
      </c>
    </row>
    <row r="2" spans="1:7" ht="14.25" customHeight="1" x14ac:dyDescent="0.3">
      <c r="A2" s="36" t="s">
        <v>83</v>
      </c>
    </row>
    <row r="4" spans="1:7" ht="14.25" customHeight="1" x14ac:dyDescent="0.3">
      <c r="A4" s="5" t="s">
        <v>84</v>
      </c>
      <c r="B4" s="6"/>
      <c r="C4" s="6"/>
      <c r="D4" s="6"/>
      <c r="E4" s="6"/>
      <c r="F4" s="6"/>
      <c r="G4" s="6"/>
    </row>
    <row r="5" spans="1:7" ht="14.25" customHeight="1" x14ac:dyDescent="0.3">
      <c r="A5" s="7" t="s">
        <v>85</v>
      </c>
      <c r="B5" s="7" t="s">
        <v>86</v>
      </c>
      <c r="C5" s="7" t="s">
        <v>87</v>
      </c>
      <c r="D5" s="7" t="s">
        <v>88</v>
      </c>
      <c r="E5" s="7" t="s">
        <v>89</v>
      </c>
      <c r="F5" s="7" t="s">
        <v>90</v>
      </c>
      <c r="G5" s="7" t="s">
        <v>91</v>
      </c>
    </row>
    <row r="6" spans="1:7" ht="14.25" customHeight="1" x14ac:dyDescent="0.3">
      <c r="A6" s="9" t="s">
        <v>92</v>
      </c>
      <c r="B6" s="37">
        <f>'DGM - JPM'!$B$22*0.87</f>
        <v>52622.419800000003</v>
      </c>
      <c r="C6" s="20">
        <v>0.55000000000000004</v>
      </c>
      <c r="D6" s="38">
        <f>B6*C6/'DGM - JPM'!$F$13</f>
        <v>10.405296023728205</v>
      </c>
      <c r="E6" s="39">
        <f>D6/'DGM - JPM'!$B$29</f>
        <v>235.08205663787336</v>
      </c>
      <c r="F6" s="40">
        <f>E6*(1+'DGM - JPM'!$B$28)^('DGM - JPM'!$B$39/12)</f>
        <v>250.03824635111144</v>
      </c>
      <c r="G6" s="41">
        <f>F6/'DGM - JPM'!$B$44-1</f>
        <v>-0.16461779976909752</v>
      </c>
    </row>
    <row r="7" spans="1:7" ht="14.25" customHeight="1" x14ac:dyDescent="0.3">
      <c r="A7" s="13" t="s">
        <v>93</v>
      </c>
      <c r="B7" s="42">
        <f>'DGM - JPM'!$B$22</f>
        <v>60485.54</v>
      </c>
      <c r="C7" s="43">
        <f>'DGM - JPM'!B17</f>
        <v>0.65369274215214845</v>
      </c>
      <c r="D7" s="27">
        <f>B7*C7/'DGM - JPM'!$F$13</f>
        <v>14.214976991966012</v>
      </c>
      <c r="E7" s="44">
        <f>D7/'DGM - JPM'!$B$29</f>
        <v>321.1524226423785</v>
      </c>
      <c r="F7" s="44">
        <f>E7*(1+'DGM - JPM'!$B$28)^('DGM - JPM'!$B$39/12)</f>
        <v>341.58450762836458</v>
      </c>
      <c r="G7" s="31">
        <f>F7/'DGM - JPM'!$B$44-1</f>
        <v>0.14123987714531605</v>
      </c>
    </row>
    <row r="8" spans="1:7" ht="14.25" customHeight="1" x14ac:dyDescent="0.3">
      <c r="A8" s="9" t="s">
        <v>94</v>
      </c>
      <c r="B8" s="37">
        <f>'DGM - JPM'!$B$22</f>
        <v>60485.54</v>
      </c>
      <c r="C8" s="20">
        <v>0.73</v>
      </c>
      <c r="D8" s="38">
        <f>B8*C8/'DGM - JPM'!$F$13</f>
        <v>15.874328312061836</v>
      </c>
      <c r="E8" s="39">
        <f>D8/'DGM - JPM'!$B$29</f>
        <v>358.6413821225654</v>
      </c>
      <c r="F8" s="40">
        <f>E8*(1+'DGM - JPM'!$B$28)^('DGM - JPM'!$B$39/12)</f>
        <v>381.45855765164333</v>
      </c>
      <c r="G8" s="41">
        <f>F8/'DGM - JPM'!$B$44-1</f>
        <v>0.2744597830063924</v>
      </c>
    </row>
    <row r="10" spans="1:7" ht="14.25" customHeight="1" x14ac:dyDescent="0.3">
      <c r="A10" s="34" t="s">
        <v>95</v>
      </c>
    </row>
    <row r="11" spans="1:7" ht="14.25" customHeight="1" x14ac:dyDescent="0.3">
      <c r="A11" s="34" t="s">
        <v>96</v>
      </c>
    </row>
    <row r="12" spans="1:7" ht="14.25" customHeight="1" x14ac:dyDescent="0.3">
      <c r="A12" s="34" t="s">
        <v>97</v>
      </c>
    </row>
    <row r="14" spans="1:7" ht="14.25" customHeight="1" x14ac:dyDescent="0.3">
      <c r="A14" s="5" t="s">
        <v>98</v>
      </c>
      <c r="B14" s="6"/>
      <c r="C14" s="6"/>
      <c r="D14" s="6"/>
      <c r="E14" s="6"/>
      <c r="F14" s="6"/>
      <c r="G14" s="6"/>
    </row>
    <row r="15" spans="1:7" ht="14.25" customHeight="1" x14ac:dyDescent="0.3">
      <c r="A15" s="7" t="s">
        <v>99</v>
      </c>
      <c r="B15" s="45">
        <v>3.95E-2</v>
      </c>
      <c r="C15" s="45">
        <v>4.2000000000000003E-2</v>
      </c>
      <c r="D15" s="45">
        <v>4.4499999999999998E-2</v>
      </c>
      <c r="E15" s="45">
        <v>4.7E-2</v>
      </c>
      <c r="F15" s="45">
        <v>4.9500000000000002E-2</v>
      </c>
    </row>
    <row r="16" spans="1:7" ht="14.25" customHeight="1" x14ac:dyDescent="0.3">
      <c r="A16" s="46">
        <v>8.3799999999999999E-2</v>
      </c>
      <c r="B16" s="47">
        <f>'DGM - JPM'!$B$37/($A16-0.0395)*(1+0.0395)^('DGM - JPM'!$B$39/12)</f>
        <v>338.98238755167887</v>
      </c>
      <c r="C16" s="47">
        <f>'DGM - JPM'!$B$37/($A16-0.042)*(1+0.042)^('DGM - JPM'!$B$39/12)</f>
        <v>360.48108469099435</v>
      </c>
      <c r="D16" s="47">
        <f>'DGM - JPM'!$B$37/($A16-0.0445)*(1+0.0445)^('DGM - JPM'!$B$39/12)</f>
        <v>384.71628779770288</v>
      </c>
      <c r="E16" s="47">
        <f>'DGM - JPM'!$B$37/($A16-0.047)*(1+0.047)^('DGM - JPM'!$B$39/12)</f>
        <v>412.24570674234081</v>
      </c>
      <c r="F16" s="47">
        <f>'DGM - JPM'!$B$37/($A16-0.0495)*(1+0.0495)^('DGM - JPM'!$B$39/12)</f>
        <v>443.78964903322566</v>
      </c>
    </row>
    <row r="17" spans="1:6" ht="14.25" customHeight="1" x14ac:dyDescent="0.3">
      <c r="A17" s="46">
        <v>8.6300000000000002E-2</v>
      </c>
      <c r="B17" s="47">
        <f>'DGM - JPM'!$B$37/($A17-0.0395)*(1+0.0395)^('DGM - JPM'!$B$39/12)</f>
        <v>320.87435402861905</v>
      </c>
      <c r="C17" s="47">
        <f>'DGM - JPM'!$B$37/($A17-0.042)*(1+0.042)^('DGM - JPM'!$B$39/12)</f>
        <v>340.13790835403086</v>
      </c>
      <c r="D17" s="47">
        <f>'DGM - JPM'!$B$37/($A17-0.0445)*(1+0.0445)^('DGM - JPM'!$B$39/12)</f>
        <v>361.70694044138088</v>
      </c>
      <c r="E17" s="47">
        <f>'DGM - JPM'!$B$37/($A17-0.047)*(1+0.047)^('DGM - JPM'!$B$39/12)</f>
        <v>386.02142514295525</v>
      </c>
      <c r="F17" s="47">
        <f>'DGM - JPM'!$B$37/($A17-0.0495)*(1+0.0495)^('DGM - JPM'!$B$39/12)</f>
        <v>413.64089570216407</v>
      </c>
    </row>
    <row r="18" spans="1:6" ht="14.25" customHeight="1" x14ac:dyDescent="0.3">
      <c r="A18" s="46">
        <v>8.8800000000000004E-2</v>
      </c>
      <c r="B18" s="47">
        <f>'DGM - JPM'!$B$37/($A18-0.0395)*(1+0.0395)^('DGM - JPM'!$B$39/12)</f>
        <v>304.60283506165052</v>
      </c>
      <c r="C18" s="47">
        <f>'DGM - JPM'!$B$37/($A18-0.042)*(1+0.042)^('DGM - JPM'!$B$39/12)</f>
        <v>321.96814829238383</v>
      </c>
      <c r="D18" s="48">
        <f>'DGM - JPM'!$B$37/($A18-0.0445)*(1+0.0445)^('DGM - JPM'!$B$39/12)</f>
        <v>341.29458488599823</v>
      </c>
      <c r="E18" s="47">
        <f>'DGM - JPM'!$B$37/($A18-0.047)*(1+0.047)^('DGM - JPM'!$B$39/12)</f>
        <v>362.93401933296985</v>
      </c>
      <c r="F18" s="47">
        <f>'DGM - JPM'!$B$37/($A18-0.0495)*(1+0.0495)^('DGM - JPM'!$B$39/12)</f>
        <v>387.32786162441829</v>
      </c>
    </row>
    <row r="19" spans="1:6" ht="14.25" customHeight="1" x14ac:dyDescent="0.3">
      <c r="A19" s="46">
        <v>9.1300000000000006E-2</v>
      </c>
      <c r="B19" s="47">
        <f>'DGM - JPM'!$B$37/($A19-0.0395)*(1+0.0395)^('DGM - JPM'!$B$39/12)</f>
        <v>289.9019260335786</v>
      </c>
      <c r="C19" s="47">
        <f>'DGM - JPM'!$B$37/($A19-0.042)*(1+0.042)^('DGM - JPM'!$B$39/12)</f>
        <v>305.64116308485927</v>
      </c>
      <c r="D19" s="47">
        <f>'DGM - JPM'!$B$37/($A19-0.0445)*(1+0.0445)^('DGM - JPM'!$B$39/12)</f>
        <v>323.06303654807095</v>
      </c>
      <c r="E19" s="47">
        <f>'DGM - JPM'!$B$37/($A19-0.047)*(1+0.047)^('DGM - JPM'!$B$39/12)</f>
        <v>342.45241553314088</v>
      </c>
      <c r="F19" s="47">
        <f>'DGM - JPM'!$B$37/($A19-0.0495)*(1+0.0495)^('DGM - JPM'!$B$39/12)</f>
        <v>364.1623196612353</v>
      </c>
    </row>
    <row r="20" spans="1:6" ht="14.25" customHeight="1" x14ac:dyDescent="0.3">
      <c r="A20" s="46">
        <v>9.3799999999999994E-2</v>
      </c>
      <c r="B20" s="47">
        <f>'DGM - JPM'!$B$37/($A20-0.0395)*(1+0.0395)^('DGM - JPM'!$B$39/12)</f>
        <v>276.55469186997004</v>
      </c>
      <c r="C20" s="47">
        <f>'DGM - JPM'!$B$37/($A20-0.042)*(1+0.042)^('DGM - JPM'!$B$39/12)</f>
        <v>290.89014170045499</v>
      </c>
      <c r="D20" s="47">
        <f>'DGM - JPM'!$B$37/($A20-0.0445)*(1+0.0445)^('DGM - JPM'!$B$39/12)</f>
        <v>306.68052962372667</v>
      </c>
      <c r="E20" s="47">
        <f>'DGM - JPM'!$B$37/($A20-0.047)*(1+0.047)^('DGM - JPM'!$B$39/12)</f>
        <v>324.15901726748172</v>
      </c>
      <c r="F20" s="47">
        <f>'DGM - JPM'!$B$37/($A20-0.0495)*(1+0.0495)^('DGM - JPM'!$B$39/12)</f>
        <v>343.61139868712502</v>
      </c>
    </row>
    <row r="22" spans="1:6" ht="14.25" customHeight="1" x14ac:dyDescent="0.3">
      <c r="A22" s="34" t="s">
        <v>100</v>
      </c>
    </row>
    <row r="23" spans="1:6" ht="14.25" customHeight="1" x14ac:dyDescent="0.3">
      <c r="A23" s="34" t="s">
        <v>101</v>
      </c>
    </row>
    <row r="24" spans="1:6" ht="14.25" customHeight="1" x14ac:dyDescent="0.3">
      <c r="A24" s="34" t="s">
        <v>102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6"/>
  <sheetViews>
    <sheetView topLeftCell="A39" zoomScale="115" zoomScaleNormal="115" workbookViewId="0">
      <selection activeCell="B19" sqref="B19"/>
    </sheetView>
  </sheetViews>
  <sheetFormatPr defaultColWidth="8.6328125" defaultRowHeight="14" x14ac:dyDescent="0.3"/>
  <cols>
    <col min="1" max="1" width="46" style="2" customWidth="1"/>
    <col min="2" max="2" width="56" style="2" customWidth="1"/>
    <col min="3" max="6" width="20" style="2" customWidth="1"/>
    <col min="7" max="16384" width="8.6328125" style="2"/>
  </cols>
  <sheetData>
    <row r="1" spans="1:1" ht="18" customHeight="1" x14ac:dyDescent="0.4">
      <c r="A1" s="35" t="s">
        <v>103</v>
      </c>
    </row>
    <row r="2" spans="1:1" ht="14.25" customHeight="1" x14ac:dyDescent="0.3">
      <c r="A2" s="36" t="s">
        <v>83</v>
      </c>
    </row>
    <row r="4" spans="1:1" ht="14.25" customHeight="1" x14ac:dyDescent="0.3">
      <c r="A4" s="49" t="s">
        <v>104</v>
      </c>
    </row>
    <row r="5" spans="1:1" ht="14.25" customHeight="1" x14ac:dyDescent="0.3">
      <c r="A5" s="34" t="s">
        <v>105</v>
      </c>
    </row>
    <row r="6" spans="1:1" ht="14.25" customHeight="1" x14ac:dyDescent="0.3">
      <c r="A6" s="34" t="s">
        <v>106</v>
      </c>
    </row>
    <row r="7" spans="1:1" ht="14.25" customHeight="1" x14ac:dyDescent="0.3">
      <c r="A7" s="34" t="s">
        <v>107</v>
      </c>
    </row>
    <row r="8" spans="1:1" ht="14.25" customHeight="1" x14ac:dyDescent="0.3">
      <c r="A8" s="34" t="s">
        <v>108</v>
      </c>
    </row>
    <row r="10" spans="1:1" ht="14.25" customHeight="1" x14ac:dyDescent="0.3">
      <c r="A10" s="49" t="s">
        <v>109</v>
      </c>
    </row>
    <row r="11" spans="1:1" ht="14.25" customHeight="1" x14ac:dyDescent="0.3">
      <c r="A11" s="34" t="s">
        <v>110</v>
      </c>
    </row>
    <row r="12" spans="1:1" ht="14.25" customHeight="1" x14ac:dyDescent="0.3">
      <c r="A12" s="34" t="s">
        <v>111</v>
      </c>
    </row>
    <row r="13" spans="1:1" ht="14.25" customHeight="1" x14ac:dyDescent="0.3">
      <c r="A13" s="34" t="s">
        <v>112</v>
      </c>
    </row>
    <row r="14" spans="1:1" ht="14.25" customHeight="1" x14ac:dyDescent="0.3">
      <c r="A14" s="34" t="s">
        <v>113</v>
      </c>
    </row>
    <row r="15" spans="1:1" ht="14.25" customHeight="1" x14ac:dyDescent="0.3">
      <c r="A15" s="34" t="s">
        <v>114</v>
      </c>
    </row>
    <row r="16" spans="1:1" ht="14.25" customHeight="1" x14ac:dyDescent="0.3">
      <c r="A16" s="34" t="s">
        <v>115</v>
      </c>
    </row>
    <row r="18" spans="1:2" ht="14.25" customHeight="1" x14ac:dyDescent="0.3">
      <c r="A18" s="49" t="s">
        <v>116</v>
      </c>
    </row>
    <row r="19" spans="1:2" ht="14.25" customHeight="1" x14ac:dyDescent="0.3">
      <c r="A19" s="34" t="s">
        <v>117</v>
      </c>
    </row>
    <row r="20" spans="1:2" ht="14.25" customHeight="1" x14ac:dyDescent="0.3">
      <c r="A20" s="34" t="s">
        <v>118</v>
      </c>
    </row>
    <row r="21" spans="1:2" ht="14.25" customHeight="1" x14ac:dyDescent="0.3">
      <c r="A21" s="34" t="s">
        <v>119</v>
      </c>
    </row>
    <row r="22" spans="1:2" ht="14.25" customHeight="1" x14ac:dyDescent="0.3">
      <c r="A22" s="34" t="s">
        <v>120</v>
      </c>
    </row>
    <row r="24" spans="1:2" ht="14.25" customHeight="1" x14ac:dyDescent="0.3">
      <c r="A24" s="5" t="s">
        <v>121</v>
      </c>
      <c r="B24" s="6"/>
    </row>
    <row r="25" spans="1:2" ht="15" customHeight="1" x14ac:dyDescent="0.3">
      <c r="A25" s="7" t="s">
        <v>22</v>
      </c>
      <c r="B25" s="7" t="s">
        <v>122</v>
      </c>
    </row>
    <row r="26" spans="1:2" ht="14.25" customHeight="1" x14ac:dyDescent="0.3">
      <c r="A26" s="50" t="s">
        <v>123</v>
      </c>
      <c r="B26" s="51" t="s">
        <v>124</v>
      </c>
    </row>
    <row r="27" spans="1:2" ht="14.25" customHeight="1" x14ac:dyDescent="0.3">
      <c r="A27" s="50" t="s">
        <v>125</v>
      </c>
      <c r="B27" s="51" t="s">
        <v>126</v>
      </c>
    </row>
    <row r="28" spans="1:2" ht="14.25" customHeight="1" x14ac:dyDescent="0.3">
      <c r="A28" s="50" t="s">
        <v>127</v>
      </c>
      <c r="B28" s="51" t="s">
        <v>30</v>
      </c>
    </row>
    <row r="29" spans="1:2" ht="14.25" customHeight="1" x14ac:dyDescent="0.3">
      <c r="A29" s="50" t="s">
        <v>128</v>
      </c>
      <c r="B29" s="51" t="s">
        <v>129</v>
      </c>
    </row>
    <row r="30" spans="1:2" ht="14.25" customHeight="1" x14ac:dyDescent="0.3">
      <c r="A30" s="50" t="s">
        <v>130</v>
      </c>
      <c r="B30" s="51" t="s">
        <v>34</v>
      </c>
    </row>
    <row r="31" spans="1:2" ht="14.25" customHeight="1" x14ac:dyDescent="0.3">
      <c r="A31" s="50" t="s">
        <v>131</v>
      </c>
      <c r="B31" s="51" t="s">
        <v>132</v>
      </c>
    </row>
    <row r="32" spans="1:2" ht="14.25" customHeight="1" x14ac:dyDescent="0.3">
      <c r="A32" s="50" t="s">
        <v>133</v>
      </c>
      <c r="B32" s="51" t="s">
        <v>134</v>
      </c>
    </row>
    <row r="33" spans="1:2" ht="14.25" customHeight="1" x14ac:dyDescent="0.3">
      <c r="A33" s="50" t="s">
        <v>135</v>
      </c>
      <c r="B33" s="51" t="s">
        <v>36</v>
      </c>
    </row>
    <row r="34" spans="1:2" ht="14.25" customHeight="1" x14ac:dyDescent="0.3">
      <c r="A34" s="50" t="s">
        <v>136</v>
      </c>
      <c r="B34" s="51" t="s">
        <v>137</v>
      </c>
    </row>
    <row r="35" spans="1:2" ht="14.25" customHeight="1" x14ac:dyDescent="0.3">
      <c r="A35" s="50" t="s">
        <v>138</v>
      </c>
      <c r="B35" s="51" t="s">
        <v>139</v>
      </c>
    </row>
    <row r="37" spans="1:2" ht="14.25" customHeight="1" x14ac:dyDescent="0.3">
      <c r="A37" s="5" t="s">
        <v>140</v>
      </c>
      <c r="B37" s="6"/>
    </row>
    <row r="38" spans="1:2" ht="15" customHeight="1" x14ac:dyDescent="0.3">
      <c r="A38" s="52"/>
      <c r="B38" s="52"/>
    </row>
    <row r="39" spans="1:2" ht="14.25" customHeight="1" x14ac:dyDescent="0.3">
      <c r="A39" s="52" t="s">
        <v>141</v>
      </c>
    </row>
    <row r="40" spans="1:2" ht="14.25" customHeight="1" x14ac:dyDescent="0.3">
      <c r="A40" s="34" t="s">
        <v>142</v>
      </c>
    </row>
    <row r="41" spans="1:2" ht="14.25" customHeight="1" x14ac:dyDescent="0.3">
      <c r="A41" s="34" t="s">
        <v>143</v>
      </c>
    </row>
    <row r="42" spans="1:2" ht="14.25" customHeight="1" x14ac:dyDescent="0.3">
      <c r="A42" s="52" t="s">
        <v>144</v>
      </c>
    </row>
    <row r="43" spans="1:2" ht="14.25" customHeight="1" x14ac:dyDescent="0.3">
      <c r="A43" s="34" t="s">
        <v>145</v>
      </c>
    </row>
    <row r="44" spans="1:2" ht="14.25" customHeight="1" x14ac:dyDescent="0.3">
      <c r="A44" s="34" t="s">
        <v>146</v>
      </c>
    </row>
    <row r="45" spans="1:2" ht="14.25" customHeight="1" x14ac:dyDescent="0.3">
      <c r="A45" s="52" t="s">
        <v>147</v>
      </c>
    </row>
    <row r="46" spans="1:2" ht="14.25" customHeight="1" x14ac:dyDescent="0.3">
      <c r="A46" s="34" t="s">
        <v>148</v>
      </c>
    </row>
    <row r="47" spans="1:2" ht="14.25" customHeight="1" x14ac:dyDescent="0.3">
      <c r="A47" s="34" t="s">
        <v>149</v>
      </c>
    </row>
    <row r="49" spans="1:2" ht="14.25" customHeight="1" x14ac:dyDescent="0.3">
      <c r="A49" s="5" t="s">
        <v>150</v>
      </c>
      <c r="B49" s="6"/>
    </row>
    <row r="50" spans="1:2" ht="14.25" customHeight="1" x14ac:dyDescent="0.3">
      <c r="A50" s="52" t="s">
        <v>151</v>
      </c>
    </row>
    <row r="51" spans="1:2" ht="14.25" customHeight="1" x14ac:dyDescent="0.3">
      <c r="A51" s="34" t="s">
        <v>152</v>
      </c>
    </row>
    <row r="52" spans="1:2" ht="14.25" customHeight="1" x14ac:dyDescent="0.3">
      <c r="A52" s="52" t="s">
        <v>153</v>
      </c>
    </row>
    <row r="53" spans="1:2" ht="14.25" customHeight="1" x14ac:dyDescent="0.3">
      <c r="A53" s="34" t="s">
        <v>154</v>
      </c>
    </row>
    <row r="54" spans="1:2" ht="14.25" customHeight="1" x14ac:dyDescent="0.3">
      <c r="A54" s="52" t="s">
        <v>155</v>
      </c>
    </row>
    <row r="55" spans="1:2" ht="14.25" customHeight="1" x14ac:dyDescent="0.3">
      <c r="A55" s="34" t="s">
        <v>156</v>
      </c>
    </row>
    <row r="56" spans="1:2" ht="14.25" customHeight="1" x14ac:dyDescent="0.3">
      <c r="A56" s="52" t="s">
        <v>157</v>
      </c>
    </row>
    <row r="57" spans="1:2" ht="14.25" customHeight="1" x14ac:dyDescent="0.3">
      <c r="A57" s="34" t="s">
        <v>158</v>
      </c>
    </row>
    <row r="58" spans="1:2" ht="14.25" customHeight="1" x14ac:dyDescent="0.3">
      <c r="A58" s="52" t="s">
        <v>159</v>
      </c>
    </row>
    <row r="59" spans="1:2" ht="14.25" customHeight="1" x14ac:dyDescent="0.3">
      <c r="A59" s="34" t="s">
        <v>160</v>
      </c>
    </row>
    <row r="61" spans="1:2" ht="14.25" customHeight="1" x14ac:dyDescent="0.3">
      <c r="A61" s="5" t="s">
        <v>161</v>
      </c>
      <c r="B61" s="6"/>
    </row>
    <row r="62" spans="1:2" ht="14.25" customHeight="1" x14ac:dyDescent="0.3">
      <c r="A62" s="53" t="s">
        <v>162</v>
      </c>
      <c r="B62" s="34" t="s">
        <v>163</v>
      </c>
    </row>
    <row r="63" spans="1:2" ht="14.25" customHeight="1" x14ac:dyDescent="0.3">
      <c r="A63" s="54" t="s">
        <v>164</v>
      </c>
      <c r="B63" s="34" t="s">
        <v>165</v>
      </c>
    </row>
    <row r="64" spans="1:2" ht="14.25" customHeight="1" x14ac:dyDescent="0.3">
      <c r="A64" s="55" t="s">
        <v>166</v>
      </c>
      <c r="B64" s="34" t="s">
        <v>167</v>
      </c>
    </row>
    <row r="66" spans="1:1" ht="14.25" customHeight="1" x14ac:dyDescent="0.3">
      <c r="A66" s="34" t="s">
        <v>168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DGM - JPM</vt:lpstr>
      <vt:lpstr>Scenarios &amp; Sensitivity</vt:lpstr>
      <vt:lpstr>Method, Sources &amp; Limitations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JPMorgan Chase &amp; Co. - Dividend Growth Model</dc:title>
  <dc:subject/>
  <dc:creator>Andrew Pasten</dc:creator>
  <dc:description>Valuation of JPM on total shareholder payout. Angel City Capital Management, FRL 6950. Frozen 31 July 2026.</dc:description>
  <cp:lastModifiedBy>Andrew Pasten</cp:lastModifiedBy>
  <cp:revision>0</cp:revision>
  <dcterms:created xsi:type="dcterms:W3CDTF">2026-10-04T05:04:23Z</dcterms:created>
  <dcterms:modified xsi:type="dcterms:W3CDTF">2026-10-06T02:23:57Z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ude.handoff">
    <vt:lpwstr>fDgDpqSD4EzqDkINTZguzTYkVdQ5T4ADAQWrPb47yxg</vt:lpwstr>
  </property>
</Properties>
</file>