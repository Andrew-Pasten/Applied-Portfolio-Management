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4b07fe6b7538511e/0 MSFA/CURRENT DELIVERABLES - 5 Oct 2026/"/>
    </mc:Choice>
  </mc:AlternateContent>
  <xr:revisionPtr revIDLastSave="38" documentId="11_6A8A3153F948EEE10EBBDD065506D4A2A090ADB1" xr6:coauthVersionLast="47" xr6:coauthVersionMax="47" xr10:uidLastSave="{5A487C95-32EF-4F89-BD82-C7DBC1D6D2F3}"/>
  <bookViews>
    <workbookView xWindow="-110" yWindow="-110" windowWidth="25820" windowHeight="16220" tabRatio="500" xr2:uid="{00000000-000D-0000-FFFF-FFFF00000000}"/>
  </bookViews>
  <sheets>
    <sheet name="Cover &amp; Method" sheetId="1" r:id="rId1"/>
    <sheet name="Data" sheetId="2" r:id="rId2"/>
    <sheet name="SUMMARY" sheetId="3" r:id="rId3"/>
    <sheet name="Consumer Build" sheetId="4" r:id="rId4"/>
    <sheet name="Inflation Build" sheetId="5" r:id="rId5"/>
    <sheet name="BEA Source Data" sheetId="6" r:id="rId6"/>
    <sheet name="Data Adjustments" sheetId="7" r:id="rId7"/>
    <sheet name="Investment Build" sheetId="8" r:id="rId8"/>
    <sheet name="AI Capex Build" sheetId="9" r:id="rId9"/>
    <sheet name="Government Build" sheetId="10" r:id="rId10"/>
    <sheet name="Net Trade Build" sheetId="11" r:id="rId11"/>
    <sheet name="Interest Rate Build" sheetId="12" r:id="rId12"/>
    <sheet name="Period Alignment" sheetId="13" r:id="rId13"/>
    <sheet name="Benchmarking" sheetId="14" r:id="rId14"/>
    <sheet name="Commodity Refresh" sheetId="15" r:id="rId15"/>
    <sheet name="Limitations" sheetId="16" r:id="rId16"/>
    <sheet name="Sheet1"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4" i="15" l="1"/>
  <c r="C22" i="15" s="1"/>
  <c r="D22" i="15" s="1"/>
  <c r="E14" i="15"/>
  <c r="C21" i="15" s="1"/>
  <c r="D21" i="15" s="1"/>
  <c r="E65" i="12"/>
  <c r="D65" i="12"/>
  <c r="C65" i="12"/>
  <c r="B65" i="12"/>
  <c r="E64" i="12"/>
  <c r="D64" i="12"/>
  <c r="C64" i="12"/>
  <c r="B64" i="12"/>
  <c r="E63" i="12"/>
  <c r="D63" i="12"/>
  <c r="C63" i="12"/>
  <c r="B63" i="12"/>
  <c r="E62" i="12"/>
  <c r="D62" i="12"/>
  <c r="C62" i="12"/>
  <c r="B62" i="12"/>
  <c r="B33" i="12"/>
  <c r="B34" i="12" s="1"/>
  <c r="B21" i="12"/>
  <c r="B17" i="12"/>
  <c r="B22" i="12" s="1"/>
  <c r="B9" i="12"/>
  <c r="D29" i="11"/>
  <c r="D28" i="11"/>
  <c r="D27" i="11"/>
  <c r="D26" i="11"/>
  <c r="D25" i="11"/>
  <c r="D24" i="11"/>
  <c r="D23" i="11"/>
  <c r="D22" i="11"/>
  <c r="D21" i="11"/>
  <c r="D20" i="11"/>
  <c r="D19" i="11"/>
  <c r="D18" i="11"/>
  <c r="G16" i="9"/>
  <c r="F16" i="9"/>
  <c r="D16" i="9"/>
  <c r="C16" i="9"/>
  <c r="H15" i="9"/>
  <c r="E15" i="9"/>
  <c r="H14" i="9"/>
  <c r="E14" i="9"/>
  <c r="H13" i="9"/>
  <c r="E13" i="9"/>
  <c r="H12" i="9"/>
  <c r="E12" i="9"/>
  <c r="H11" i="9"/>
  <c r="E11" i="9"/>
  <c r="B18" i="7"/>
  <c r="B17" i="7"/>
  <c r="G49" i="6"/>
  <c r="F49" i="6"/>
  <c r="E49" i="6"/>
  <c r="G48" i="6"/>
  <c r="F48" i="6"/>
  <c r="E48" i="6"/>
  <c r="G47" i="6"/>
  <c r="F47" i="6"/>
  <c r="E47" i="6"/>
  <c r="G46" i="6"/>
  <c r="B6" i="11" s="1"/>
  <c r="F46" i="6"/>
  <c r="E46" i="6"/>
  <c r="G45" i="6"/>
  <c r="C18" i="7" s="1"/>
  <c r="F45" i="6"/>
  <c r="B6" i="10" s="1"/>
  <c r="E45" i="6"/>
  <c r="G44" i="6"/>
  <c r="F44" i="6"/>
  <c r="E44" i="6"/>
  <c r="G43" i="6"/>
  <c r="F43" i="6"/>
  <c r="E43" i="6"/>
  <c r="G42" i="6"/>
  <c r="B7" i="11" s="1"/>
  <c r="F42" i="6"/>
  <c r="E42" i="6"/>
  <c r="G41" i="6"/>
  <c r="F41" i="6"/>
  <c r="E41" i="6"/>
  <c r="G40" i="6"/>
  <c r="F40" i="6"/>
  <c r="E40" i="6"/>
  <c r="G39" i="6"/>
  <c r="F39" i="6"/>
  <c r="E39" i="6"/>
  <c r="G38" i="6"/>
  <c r="F38" i="6"/>
  <c r="E38" i="6"/>
  <c r="G37" i="6"/>
  <c r="F37" i="6"/>
  <c r="E37" i="6"/>
  <c r="G36" i="6"/>
  <c r="F36" i="6"/>
  <c r="E36" i="6"/>
  <c r="G35" i="6"/>
  <c r="F35" i="6"/>
  <c r="E35" i="6"/>
  <c r="G34" i="6"/>
  <c r="F34" i="6"/>
  <c r="E34" i="6"/>
  <c r="G33" i="6"/>
  <c r="F33" i="6"/>
  <c r="E33" i="6"/>
  <c r="G32" i="6"/>
  <c r="F32" i="6"/>
  <c r="E32" i="6"/>
  <c r="G31" i="6"/>
  <c r="F31" i="6"/>
  <c r="E31" i="6"/>
  <c r="G30" i="6"/>
  <c r="F30" i="6"/>
  <c r="E30" i="6"/>
  <c r="G29" i="6"/>
  <c r="F29" i="6"/>
  <c r="E29" i="6"/>
  <c r="G28" i="6"/>
  <c r="F28" i="6"/>
  <c r="E28" i="6"/>
  <c r="G27" i="6"/>
  <c r="F27" i="6"/>
  <c r="E27" i="6"/>
  <c r="G26" i="6"/>
  <c r="F26" i="6"/>
  <c r="E26" i="6"/>
  <c r="G25" i="6"/>
  <c r="F25" i="6"/>
  <c r="E25" i="6"/>
  <c r="G24" i="6"/>
  <c r="F24" i="6"/>
  <c r="E24" i="6"/>
  <c r="G23" i="6"/>
  <c r="F23" i="6"/>
  <c r="E23" i="6"/>
  <c r="G22" i="6"/>
  <c r="F22" i="6"/>
  <c r="E22" i="6"/>
  <c r="G21" i="6"/>
  <c r="F21" i="6"/>
  <c r="E21" i="6"/>
  <c r="G20" i="6"/>
  <c r="F20" i="6"/>
  <c r="E20" i="6"/>
  <c r="G19" i="6"/>
  <c r="F19" i="6"/>
  <c r="E19" i="6"/>
  <c r="G18" i="6"/>
  <c r="F18" i="6"/>
  <c r="E18" i="6"/>
  <c r="G17" i="6"/>
  <c r="F17" i="6"/>
  <c r="E17" i="6"/>
  <c r="G16" i="6"/>
  <c r="F16" i="6"/>
  <c r="E16" i="6"/>
  <c r="G15" i="6"/>
  <c r="F15" i="6"/>
  <c r="E15" i="6"/>
  <c r="G14" i="6"/>
  <c r="F14" i="6"/>
  <c r="E14" i="6"/>
  <c r="G13" i="6"/>
  <c r="F13" i="6"/>
  <c r="E13" i="6"/>
  <c r="G12" i="6"/>
  <c r="F12" i="6"/>
  <c r="E12" i="6"/>
  <c r="G11" i="6"/>
  <c r="F11" i="6"/>
  <c r="E11" i="6"/>
  <c r="G10" i="6"/>
  <c r="F10" i="6"/>
  <c r="E10" i="6"/>
  <c r="G9" i="6"/>
  <c r="F9" i="6"/>
  <c r="E9" i="6"/>
  <c r="G8" i="6"/>
  <c r="F8" i="6"/>
  <c r="E8" i="6"/>
  <c r="G7" i="6"/>
  <c r="F7" i="6"/>
  <c r="E7" i="6"/>
  <c r="G6" i="6"/>
  <c r="F6" i="6"/>
  <c r="E6" i="6"/>
  <c r="G5" i="6"/>
  <c r="F5" i="6"/>
  <c r="E5" i="6"/>
  <c r="B29" i="5"/>
  <c r="B20" i="5"/>
  <c r="E19" i="5"/>
  <c r="F19" i="5" s="1"/>
  <c r="E18" i="5"/>
  <c r="F18" i="5" s="1"/>
  <c r="E17" i="5"/>
  <c r="F17" i="5" s="1"/>
  <c r="E16" i="5"/>
  <c r="F16" i="5" s="1"/>
  <c r="E15" i="5"/>
  <c r="F15" i="5" s="1"/>
  <c r="E14" i="5"/>
  <c r="F14" i="5" s="1"/>
  <c r="E13" i="5"/>
  <c r="F13" i="5" s="1"/>
  <c r="E12" i="5"/>
  <c r="F12" i="5" s="1"/>
  <c r="F20" i="5" s="1"/>
  <c r="C28" i="5" s="1"/>
  <c r="D28" i="5" s="1"/>
  <c r="B8" i="5"/>
  <c r="C27" i="5" s="1"/>
  <c r="D27" i="5" s="1"/>
  <c r="B30" i="4"/>
  <c r="B27" i="4"/>
  <c r="B9" i="4"/>
  <c r="B10" i="4" s="1"/>
  <c r="B13" i="4" s="1"/>
  <c r="B21" i="3"/>
  <c r="B21" i="13" s="1"/>
  <c r="B10" i="3"/>
  <c r="B25" i="9" l="1"/>
  <c r="H16" i="9"/>
  <c r="E16" i="9"/>
  <c r="B26" i="9"/>
  <c r="B8" i="10"/>
  <c r="B7" i="10"/>
  <c r="B13" i="10" s="1"/>
  <c r="B15" i="10" s="1"/>
  <c r="C8" i="3" s="1"/>
  <c r="D8" i="3" s="1"/>
  <c r="B8" i="8"/>
  <c r="B7" i="8"/>
  <c r="B6" i="8"/>
  <c r="B13" i="8" s="1"/>
  <c r="C17" i="7"/>
  <c r="B39" i="9"/>
  <c r="B14" i="4"/>
  <c r="B20" i="4" s="1"/>
  <c r="B22" i="4" s="1"/>
  <c r="B15" i="4"/>
  <c r="B38" i="4" s="1"/>
  <c r="B8" i="11"/>
  <c r="C9" i="3" s="1"/>
  <c r="D9" i="3" s="1"/>
  <c r="B23" i="12"/>
  <c r="D29" i="5"/>
  <c r="B62" i="9" l="1"/>
  <c r="C62" i="9"/>
  <c r="B27" i="9"/>
  <c r="B63" i="9"/>
  <c r="C63" i="9"/>
  <c r="B15" i="8"/>
  <c r="C7" i="3" s="1"/>
  <c r="D7" i="3" s="1"/>
  <c r="B52" i="9"/>
  <c r="D62" i="9"/>
  <c r="D63" i="9"/>
  <c r="D64" i="9"/>
  <c r="B23" i="4"/>
  <c r="B28" i="4" s="1"/>
  <c r="B29" i="4" s="1"/>
  <c r="B31" i="4" s="1"/>
  <c r="C6" i="3" s="1"/>
  <c r="B39" i="4"/>
  <c r="B40" i="4" s="1"/>
  <c r="B41" i="4" s="1"/>
  <c r="B23" i="3" s="1"/>
  <c r="B22" i="13" s="1"/>
  <c r="B15" i="3"/>
  <c r="B51" i="12"/>
  <c r="B43" i="9"/>
  <c r="B40" i="9"/>
  <c r="B28" i="9" l="1"/>
  <c r="B36" i="9"/>
  <c r="B38" i="9" s="1"/>
  <c r="B41" i="9" s="1"/>
  <c r="B44" i="9" s="1"/>
  <c r="B64" i="9"/>
  <c r="C64" i="9"/>
  <c r="E64" i="9" s="1"/>
  <c r="D6" i="3"/>
  <c r="D10" i="3" s="1"/>
  <c r="B14" i="3" s="1"/>
  <c r="B16" i="3" s="1"/>
  <c r="E62" i="9"/>
  <c r="E63" i="9"/>
  <c r="B19" i="13"/>
  <c r="C6" i="14"/>
  <c r="B53" i="9" l="1"/>
  <c r="B54" i="9" s="1"/>
  <c r="B14" i="8"/>
  <c r="B6" i="14"/>
  <c r="B50" i="12"/>
  <c r="B52" i="12" s="1"/>
  <c r="B54" i="12" s="1"/>
  <c r="B22" i="3" s="1"/>
</calcChain>
</file>

<file path=xl/sharedStrings.xml><?xml version="1.0" encoding="utf-8"?>
<sst xmlns="http://schemas.openxmlformats.org/spreadsheetml/2006/main" count="898" uniqueCount="775">
  <si>
    <t>U.S. Economic &amp; Inflation Model</t>
  </si>
  <si>
    <t>Bottom-up forecasts for nominal GDP, inflation, interest rates and unemployment</t>
  </si>
  <si>
    <t>Andrew Pasten  |  FRL 6950  |  Model frozen July 31, 2026</t>
  </si>
  <si>
    <t>Purpose</t>
  </si>
  <si>
    <t>This model forecasts the US economy twelve months forward. It is the basis for every allocation in the ACCM</t>
  </si>
  <si>
    <t>portfolio. Each component is built from published data. Judgment calls sit in labelled blue cells, so any</t>
  </si>
  <si>
    <t>number in the report traces back to either a public data series or a stated assumption.</t>
  </si>
  <si>
    <t>Model Architecture</t>
  </si>
  <si>
    <t>Sheet</t>
  </si>
  <si>
    <t>Output</t>
  </si>
  <si>
    <t>Primary source</t>
  </si>
  <si>
    <t>Consumer Build</t>
  </si>
  <si>
    <t>Consumer spending growth; unemployment rate</t>
  </si>
  <si>
    <t>BLS labor force, employment and wage data; Census population</t>
  </si>
  <si>
    <t>Inflation Build</t>
  </si>
  <si>
    <t>Blended inflation forecast</t>
  </si>
  <si>
    <t>Atlanta Fed Wage Tracker; BLS average hourly earnings; commodity spot and futures</t>
  </si>
  <si>
    <t>AI Capex Build</t>
  </si>
  <si>
    <t>Bottom-up investment cross-check (not an input)</t>
  </si>
  <si>
    <t>Investment Build</t>
  </si>
  <si>
    <t>Business investment growth</t>
  </si>
  <si>
    <t>BEA gross private domestic investment, adjusted</t>
  </si>
  <si>
    <t>Government Build</t>
  </si>
  <si>
    <t>Government spending growth</t>
  </si>
  <si>
    <t>BEA government consumption and investment</t>
  </si>
  <si>
    <t>Net Trade Build</t>
  </si>
  <si>
    <t>Change in the trade deficit; sector weight</t>
  </si>
  <si>
    <t>BEA net exports, adjusted</t>
  </si>
  <si>
    <t>Interest Rate Build</t>
  </si>
  <si>
    <t>10-year Treasury forecast</t>
  </si>
  <si>
    <t>Policy path and term premium decomposition</t>
  </si>
  <si>
    <t>BEA Source Data</t>
  </si>
  <si>
    <t>Quarterly source series with outlier adjustment</t>
  </si>
  <si>
    <t>FRED (fred.stlouisfed.org)</t>
  </si>
  <si>
    <t>Data Adjustments</t>
  </si>
  <si>
    <t>Documentation of the 2025 Q1 restatement</t>
  </si>
  <si>
    <t>BEA quarterly detail</t>
  </si>
  <si>
    <t>SUMMARY</t>
  </si>
  <si>
    <t>Headline forecasts</t>
  </si>
  <si>
    <t>All build sheets</t>
  </si>
  <si>
    <t>Period Alignment</t>
  </si>
  <si>
    <t>Reconciliation of forecast horizons</t>
  </si>
  <si>
    <t>FOMC SEP; Philadelphia Fed SPF</t>
  </si>
  <si>
    <t>Data</t>
  </si>
  <si>
    <t>Source and as-of date for every input</t>
  </si>
  <si>
    <t>All sources</t>
  </si>
  <si>
    <t>Limitations</t>
  </si>
  <si>
    <t>Disclosed weaknesses and sensitivities</t>
  </si>
  <si>
    <t>This model</t>
  </si>
  <si>
    <t>Commodity Refresh</t>
  </si>
  <si>
    <t>Disclosed sensitivity on the materials basket</t>
  </si>
  <si>
    <t>Exchange-listed futures, July 25, 2026</t>
  </si>
  <si>
    <t>Benchmarking</t>
  </si>
  <si>
    <t>Validation against professional forecasters</t>
  </si>
  <si>
    <t>Philadelphia Fed SPF; FOMC SEP; Bloomberg; J.P. Morgan</t>
  </si>
  <si>
    <t>Conventions</t>
  </si>
  <si>
    <t>Cell colour</t>
  </si>
  <si>
    <t>Meaning</t>
  </si>
  <si>
    <t>Blue</t>
  </si>
  <si>
    <t>Hard input — a data point or a stated assumption</t>
  </si>
  <si>
    <t>Black</t>
  </si>
  <si>
    <t>Formula calculated on this sheet</t>
  </si>
  <si>
    <t>Green</t>
  </si>
  <si>
    <t>Link to another sheet in this model</t>
  </si>
  <si>
    <t>Methodological Notes</t>
  </si>
  <si>
    <t>Outliers. When one quarter is distorted by a one-off event, we restate that quarter in the source data and recompute growth from the</t>
  </si>
  <si>
    <t>restated series. We fix the data, not the output. The correction is then visible, applies to every calculation built on it, and a reader can</t>
  </si>
  <si>
    <t>undo it. See Data Adjustments.</t>
  </si>
  <si>
    <t>Triangulation. Investment is forecast two ways - top-down from the national accounts, bottom-up from company filings - and the two are</t>
  </si>
  <si>
    <t>compared.</t>
  </si>
  <si>
    <t>Interest rates. The ten-year is split into an expected policy path plus a term premium. A growth-based estimate is kept as a separate check.</t>
  </si>
  <si>
    <t>Data Vintage</t>
  </si>
  <si>
    <t>Every input in this model with its source, its as-of date, and its retrieval date. Model frozen July 31, 2026.</t>
  </si>
  <si>
    <t>Inputs by vintage</t>
  </si>
  <si>
    <t>Input</t>
  </si>
  <si>
    <t>Source</t>
  </si>
  <si>
    <t>Series / reference</t>
  </si>
  <si>
    <t>As-of date</t>
  </si>
  <si>
    <t>Note</t>
  </si>
  <si>
    <t>Hyperscaler capital expenditure</t>
  </si>
  <si>
    <t>SEC EDGAR XBRL (data.sec.gov)</t>
  </si>
  <si>
    <t>Company-concept API, five CIKs</t>
  </si>
  <si>
    <t>FY2025 and Q1 2026 filings</t>
  </si>
  <si>
    <t>Accession numbers on the AI Capex Build sheet; retrieved July 30, 2026</t>
  </si>
  <si>
    <t>Term premium decomposition</t>
  </si>
  <si>
    <t>Federal Reserve Bank of New York</t>
  </si>
  <si>
    <t>Adrian-Crump-Moench model, daily series</t>
  </si>
  <si>
    <t>July 23, 2026</t>
  </si>
  <si>
    <t>Federal Reserve projections</t>
  </si>
  <si>
    <t>Federal Reserve Board</t>
  </si>
  <si>
    <t>Summary of Economic Projections, Table 1</t>
  </si>
  <si>
    <t>June 17, 2026</t>
  </si>
  <si>
    <t>Commodity refresh (sensitivity only)</t>
  </si>
  <si>
    <t>CME, CBOT, COMEX, ICE via Yahoo Finance</t>
  </si>
  <si>
    <t>Front month and July 2027 contracts</t>
  </si>
  <si>
    <t>July 25, 2026</t>
  </si>
  <si>
    <t>Investment, government, net exports</t>
  </si>
  <si>
    <t>BEA National Income and Product Accounts via FRED</t>
  </si>
  <si>
    <t>GPDI, GCE, NETEXP — quarterly, SAAR</t>
  </si>
  <si>
    <t>Series through 2026 Q1</t>
  </si>
  <si>
    <t>Labor force, employment, wages</t>
  </si>
  <si>
    <t>BLS Current Population Survey; BLS average hourly earnings; Atlanta Fed Wage Tracker</t>
  </si>
  <si>
    <t>Annual 2025 basis</t>
  </si>
  <si>
    <t>2025 annual</t>
  </si>
  <si>
    <t>Commodity basket (in the forecast)</t>
  </si>
  <si>
    <t>Exchange-listed futures</t>
  </si>
  <si>
    <t>Spot and twelve-month forward, eight commodities</t>
  </si>
  <si>
    <t>Model construction, June-July 2026</t>
  </si>
  <si>
    <t>Professional forecaster survey</t>
  </si>
  <si>
    <t>Federal Reserve Bank of Philadelphia</t>
  </si>
  <si>
    <t>Survey of Professional Forecasters</t>
  </si>
  <si>
    <t>Q2 2026 survey</t>
  </si>
  <si>
    <t>Economist consensus</t>
  </si>
  <si>
    <t>Bloomberg ECFC</t>
  </si>
  <si>
    <t>United States</t>
  </si>
  <si>
    <t>July 2026</t>
  </si>
  <si>
    <t>Related deliverables</t>
  </si>
  <si>
    <t>Deliverable</t>
  </si>
  <si>
    <t>Newest data it contains</t>
  </si>
  <si>
    <t>ACCM Final Portfolio Report</t>
  </si>
  <si>
    <t>July 6, 2026</t>
  </si>
  <si>
    <t>Bloomberg WIRP rate path and ANR analyst consensus are the newest inputs. Portfolio inception June 1, 2026; June backtest through June 30, 2026.</t>
  </si>
  <si>
    <t>This economic model</t>
  </si>
  <si>
    <t>July 30, 2026</t>
  </si>
  <si>
    <t>Carries data newer than the report.</t>
  </si>
  <si>
    <t>JPM equity research report</t>
  </si>
  <si>
    <t>May 29, 2026 (purchase) / June 24, 2026 (capital return)</t>
  </si>
  <si>
    <t>Purchase decision priced at the 29 May close; the June capital-return announcement is a subsequent event.</t>
  </si>
  <si>
    <t>Forecast Summary</t>
  </si>
  <si>
    <t>Twelve-month forward outlook. Every figure is calculated from the build sheets in this workbook.</t>
  </si>
  <si>
    <t>Nominal GDP Build</t>
  </si>
  <si>
    <t>GDP component</t>
  </si>
  <si>
    <t>Weight</t>
  </si>
  <si>
    <t>Growth forecast</t>
  </si>
  <si>
    <t>Contribution</t>
  </si>
  <si>
    <t>Basis</t>
  </si>
  <si>
    <t>Consumer spending</t>
  </si>
  <si>
    <t>Labor force, wage growth and the saving rate</t>
  </si>
  <si>
    <t>Business investment</t>
  </si>
  <si>
    <t>BEA investment data reconciled with a bottom-up capital expenditure build</t>
  </si>
  <si>
    <t>Government spending</t>
  </si>
  <si>
    <t>Net trade</t>
  </si>
  <si>
    <t>BEA net exports; weight from the ten-year average share of GDP</t>
  </si>
  <si>
    <t>NOMINAL GDP GROWTH</t>
  </si>
  <si>
    <t>Real Growth and Inflation</t>
  </si>
  <si>
    <t>Measure</t>
  </si>
  <si>
    <t>Value</t>
  </si>
  <si>
    <t>Derivation</t>
  </si>
  <si>
    <t>Nominal GDP growth</t>
  </si>
  <si>
    <t>Inflation forecast</t>
  </si>
  <si>
    <t>Blended labor and materials forecast</t>
  </si>
  <si>
    <t>REAL GDP GROWTH</t>
  </si>
  <si>
    <t>Nominal growth deflated by the inflation build. This is an approximation, not a GDP deflator. See note below.</t>
  </si>
  <si>
    <t>Interest Rates and Labor Market</t>
  </si>
  <si>
    <t>TEN-YEAR TREASURY FORECAST</t>
  </si>
  <si>
    <t>Market-implied policy path plus a forecast term premium</t>
  </si>
  <si>
    <t>Growth-anchor cross-check</t>
  </si>
  <si>
    <t>Independent estimate; see Interest Rate Build</t>
  </si>
  <si>
    <t>UNEMPLOYMENT RATE</t>
  </si>
  <si>
    <t>How to read this. Nominal GDP drives portfolio cash flows - revenues, interest and dividends are all nominal.</t>
  </si>
  <si>
    <t>Consumer spending is forecast from its physical drivers: how many people work, what they earn, and how much of it they save.</t>
  </si>
  <si>
    <t>Step 1 — Labor Force Capacity</t>
  </si>
  <si>
    <t>Item</t>
  </si>
  <si>
    <t>Source / derivation</t>
  </si>
  <si>
    <t>2025 labor force</t>
  </si>
  <si>
    <t>BLS Current Population Survey</t>
  </si>
  <si>
    <t>2025 employment</t>
  </si>
  <si>
    <t>Working-age population (15-64)</t>
  </si>
  <si>
    <t>Census / BLS</t>
  </si>
  <si>
    <t>Working-age population growth, ten-year CAGR</t>
  </si>
  <si>
    <t>Compound growth of the 15-64 cohort over the prior decade</t>
  </si>
  <si>
    <t>Working-age population increase</t>
  </si>
  <si>
    <t>Demographic contribution to labor supply</t>
  </si>
  <si>
    <t>Net immigration</t>
  </si>
  <si>
    <t>Set to zero: already embedded in the BLS population series used above</t>
  </si>
  <si>
    <t>Participation rate assumption</t>
  </si>
  <si>
    <t>ASSUMPTION: edges down from 62.42% in 2025. Applied to the full projected population.</t>
  </si>
  <si>
    <t>2026 labor force at that participation</t>
  </si>
  <si>
    <t>Net change in labor force</t>
  </si>
  <si>
    <t>Demographics plus immigration plus participation</t>
  </si>
  <si>
    <t>2026 labor force</t>
  </si>
  <si>
    <t>Step 2 — Employment Forecast</t>
  </si>
  <si>
    <t>Upper limit: all new entrants employed</t>
  </si>
  <si>
    <t>Ceiling case in which labor force growth is fully absorbed</t>
  </si>
  <si>
    <t>Absorption rate</t>
  </si>
  <si>
    <t>ASSUMPTION: 73% of new entrants find work, leaving unemployment drifting modestly higher</t>
  </si>
  <si>
    <t>Jobs added</t>
  </si>
  <si>
    <t>Employment growth rate</t>
  </si>
  <si>
    <t>Jobs added as a share of 2025 employment</t>
  </si>
  <si>
    <t>Step 3 — Income and Spending</t>
  </si>
  <si>
    <t>Wage growth</t>
  </si>
  <si>
    <t>Link: Inflation Build, labor component</t>
  </si>
  <si>
    <t>Employment growth</t>
  </si>
  <si>
    <t>Consumer income growth</t>
  </si>
  <si>
    <t>More workers multiplied by higher pay</t>
  </si>
  <si>
    <t>Change in the saving rate</t>
  </si>
  <si>
    <t>Forecast average saving rate less the current rate; a falling rate releases income into spending</t>
  </si>
  <si>
    <t>CONSUMER SPENDING GROWTH</t>
  </si>
  <si>
    <t>Income growth plus the saving-rate drawdown</t>
  </si>
  <si>
    <t>Spending grows faster than income when households save less of what they earn. The exact identity divides the drawdown</t>
  </si>
  <si>
    <t>by one minus the saving rate, which would add slightly more. The simple addition used here is a little conservative.</t>
  </si>
  <si>
    <t>Step 4 — Unemployment Rate</t>
  </si>
  <si>
    <t>2026 employment</t>
  </si>
  <si>
    <t>2025 employment plus jobs added</t>
  </si>
  <si>
    <t>2026 unemployed</t>
  </si>
  <si>
    <t>Cost-push framework: the price level is forecast from what producers pay for labor and for materials.</t>
  </si>
  <si>
    <t>Component 1 — Labor Costs</t>
  </si>
  <si>
    <t>Rate</t>
  </si>
  <si>
    <t>Notes</t>
  </si>
  <si>
    <t>Atlanta Fed Wage Growth Tracker</t>
  </si>
  <si>
    <t>Median twelve-month wage growth of matched individuals</t>
  </si>
  <si>
    <t>BLS average hourly earnings, year over year</t>
  </si>
  <si>
    <t>Establishment survey, total private</t>
  </si>
  <si>
    <t>Average wage growth</t>
  </si>
  <si>
    <t>Feeds this sheet and the Consumer Build</t>
  </si>
  <si>
    <t>Component 2 — Materials Basket</t>
  </si>
  <si>
    <t>Commodity</t>
  </si>
  <si>
    <t>Spot</t>
  </si>
  <si>
    <t>One-year futures</t>
  </si>
  <si>
    <t>Implied change</t>
  </si>
  <si>
    <t>Weighted</t>
  </si>
  <si>
    <t>WTI crude oil</t>
  </si>
  <si>
    <t>Soybeans</t>
  </si>
  <si>
    <t>Corn</t>
  </si>
  <si>
    <t>Copper</t>
  </si>
  <si>
    <t>Gold</t>
  </si>
  <si>
    <t>Sugar</t>
  </si>
  <si>
    <t>Coffee</t>
  </si>
  <si>
    <t>Live cattle</t>
  </si>
  <si>
    <t>Total weight / net materials inflation</t>
  </si>
  <si>
    <t>Each commodity's one-year futures price against spot is the market's implied price change over the forecast</t>
  </si>
  <si>
    <t>year, so this is forward-looking rather than historical. WTI uses the square root of the ratio to dampen a</t>
  </si>
  <si>
    <t>single volatile energy quote. Weights approximate each input's share of production costs across the economy.</t>
  </si>
  <si>
    <t>Blended Forecast</t>
  </si>
  <si>
    <t>Component</t>
  </si>
  <si>
    <t>Weighted contribution</t>
  </si>
  <si>
    <t>Labor</t>
  </si>
  <si>
    <t>Materials</t>
  </si>
  <si>
    <t>INFLATION FORECAST</t>
  </si>
  <si>
    <t>U.S. Bureau of Economic Analysis, National Income and Product Accounts, via FRED. Nominal, seasonally adjusted annual rates, $ billions.</t>
  </si>
  <si>
    <t>Quarter</t>
  </si>
  <si>
    <t>GPDI reported</t>
  </si>
  <si>
    <t>GCE reported</t>
  </si>
  <si>
    <t>NETEXP reported</t>
  </si>
  <si>
    <t>GPDI adjusted</t>
  </si>
  <si>
    <t>GCE adjusted</t>
  </si>
  <si>
    <t>NETEXP adjusted</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</si>
  <si>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</si>
  <si>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</si>
  <si>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</si>
  <si>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</si>
  <si>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</si>
  <si>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</si>
  <si>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</si>
  <si>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</si>
  <si>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</si>
  <si>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</si>
  <si>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</si>
  <si>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</si>
  <si>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</si>
  <si>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</si>
  <si>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</si>
  <si>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</si>
  <si>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</si>
  <si>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</si>
  <si>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</si>
  <si>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</si>
  <si>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</si>
  <si>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</si>
  <si>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</si>
  <si>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</si>
  <si>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</si>
  <si>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</si>
  <si>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</si>
  <si>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</si>
  <si>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</si>
  <si>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</si>
  <si>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</si>
  <si>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</si>
  <si>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</si>
  <si>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</si>
  <si>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</si>
  <si>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</si>
  <si>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</si>
  <si>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</si>
  <si>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</si>
  <si>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</si>
  <si>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</si>
  <si>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</si>
  <si>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</si>
  <si>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</si>
  <si>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</si>
  <si>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Series: GPDI, GCE, NETEXP. Source: fred.stlouisfed.org (BEA 'Gross Domestic Product' release, last updated June 25, 2026).</t>
  </si>
  <si>
    <t>The adjusted columns restate 2025 Q1 to the average of the quarters either side, removing the tariff pull-forward. All other</t>
  </si>
  <si>
    <t>quarters are unchanged. Every forecast here uses the adjusted columns. See Data Adjustments.</t>
  </si>
  <si>
    <t>Documentation of the single outlier restatement applied to the source data.</t>
  </si>
  <si>
    <t>What happened. Ahead of 2025 tariffs, importers bought and stockpiled foreign goods. One such purchase is recorded twice</t>
  </si>
  <si>
    <t>in the national accounts: imports rise, which cuts net exports and subtracts from GDP; inventories rise, which lifts</t>
  </si>
  <si>
    <t>investment and adds to GDP. The two largely cancel in total GDP but push the component growth rates in opposite</t>
  </si>
  <si>
    <t>directions, because 2025 Q1 sits inside the comparison window of every measure built from it.</t>
  </si>
  <si>
    <t>Evidence — the offsetting quarters</t>
  </si>
  <si>
    <t>Quarter over quarter</t>
  </si>
  <si>
    <t>Investment</t>
  </si>
  <si>
    <t>Net exports</t>
  </si>
  <si>
    <t>Combined effect on GDP</t>
  </si>
  <si>
    <t>2024 Q4 to 2025 Q1 — stockpiling</t>
  </si>
  <si>
    <t>2025 Q1 to 2025 Q2 — unwind</t>
  </si>
  <si>
    <t>$ billions, seasonally adjusted annual rate. The near-cancellation in the combined column is the signature of one transaction booked on both sides of the accounts.</t>
  </si>
  <si>
    <t>Restatement applied</t>
  </si>
  <si>
    <t>Series</t>
  </si>
  <si>
    <t>2025 Q1 as reported</t>
  </si>
  <si>
    <t>2025 Q1 restated</t>
  </si>
  <si>
    <t>GPDI — investment</t>
  </si>
  <si>
    <t>Average of 2024 Q4 and 2025 Q2 — linear interpolation across the distorted quarter</t>
  </si>
  <si>
    <t>NETEXP — net exports</t>
  </si>
  <si>
    <t>Method. Linear interpolation across a single distorted observation is the standard fix for an identified one-</t>
  </si>
  <si>
    <t>off outlier, and is what statistical agencies' own seasonal adjustment software does when it detects one. We</t>
  </si>
  <si>
    <t>apply it to the data, not to the forecast, so the correction is visible, applies to every measure built from</t>
  </si>
  <si>
    <t>the series, and can be removed by anyone who disagrees. Government spending needed no adjustment: its trailing</t>
  </si>
  <si>
    <t>and current growth rates agree closely, which is itself evidence the series was undistorted.</t>
  </si>
  <si>
    <t>Effect on the derived measures</t>
  </si>
  <si>
    <t>From reported data</t>
  </si>
  <si>
    <t>From adjusted data</t>
  </si>
  <si>
    <t>Investment, trailing-year growth</t>
  </si>
  <si>
    <t>3.79%</t>
  </si>
  <si>
    <t>2.62%</t>
  </si>
  <si>
    <t>Investment, latest year over year</t>
  </si>
  <si>
    <t>1.40%</t>
  </si>
  <si>
    <t>6.10%</t>
  </si>
  <si>
    <t>Investment, blended base</t>
  </si>
  <si>
    <t>2.59%</t>
  </si>
  <si>
    <t>4.36%</t>
  </si>
  <si>
    <t>Net trade, change in deficit</t>
  </si>
  <si>
    <t>-19.2%</t>
  </si>
  <si>
    <t>-11.6%</t>
  </si>
  <si>
    <t>The reported spike inflates the trailing measure, which has it in the numerator, and deflates the year-over-year measure, which has it in the denominator. The</t>
  </si>
  <si>
    <t>second effect is larger, so removing the distortion raises the investment forecast and reduces the apparent narrowing of the trade deficit.</t>
  </si>
  <si>
    <t>Business investment: BEA gross private domestic investment — equipment, structures, intellectual property and inventories.</t>
  </si>
  <si>
    <t>Growth Measurement (from adjusted source data)</t>
  </si>
  <si>
    <t>Trailing-year growth (2025 average versus 2024 average)</t>
  </si>
  <si>
    <t>Four quarters against the prior four</t>
  </si>
  <si>
    <t>Latest year over year (2026 Q1 versus 2025 Q1)</t>
  </si>
  <si>
    <t>Newest quarter against the same quarter a year earlier</t>
  </si>
  <si>
    <t>Latest quarter, annualised</t>
  </si>
  <si>
    <t>Reference only — single-quarter readings are volatile</t>
  </si>
  <si>
    <t>Forecast Construction</t>
  </si>
  <si>
    <t>Weight on the trailing-year measure</t>
  </si>
  <si>
    <t>ASSUMPTION: equal weight between the stable and the current measure</t>
  </si>
  <si>
    <t>Top-down base forecast</t>
  </si>
  <si>
    <t>Weighted blend of the two measures above</t>
  </si>
  <si>
    <t>Memo — bottom-up cross-check</t>
  </si>
  <si>
    <t>Independent build from audited capital expenditure in SEC filings. Not averaged into the forecast; see note below.</t>
  </si>
  <si>
    <t>FORECAST</t>
  </si>
  <si>
    <t>The national accounts measure is the forecast. The bottom-up build validates it.</t>
  </si>
  <si>
    <t>The forecast is the top-down measure from the national accounts, using the adjusted series so the 2025 Q1 distortion does not suppress the year-over-year reading. That is the standard basis</t>
  </si>
  <si>
    <t>for forecasting national investment.</t>
  </si>
  <si>
    <t>The bottom-up build from five hyperscalers' filings is a cross-check, shown above as a memo only. It is deliberately not averaged in. Their US-deployed capital expenditure is about 5.1% of private investment, too small a sample to infer the whole.</t>
  </si>
  <si>
    <t>a sample to infer the whole. Their value is confirmatory.</t>
  </si>
  <si>
    <t>The two methods use entirely separate data - government statistics against company filings - so agreement between them is real evidence, not an artifact. No judgment overlay is applied here.</t>
  </si>
  <si>
    <t>AI Capital Expenditure — Bottom-Up Cross-Check</t>
  </si>
  <si>
    <t>Checks the top-down investment forecast against audited capex from SEC filings. Not an input to the forecast.</t>
  </si>
  <si>
    <t>Purpose. Analysts covering semiconductors, networking, electrical equipment, data-center REITs and power utilities routinely add up hyperscaler capex to size demand. That use is standard.</t>
  </si>
  <si>
    <t>Forecasting national investment from it is not. National investment is built from Census shipments and orders, construction spending and capital-goods surveys. These five companies are under</t>
  </si>
  <si>
    <t>5.1% of private investment once their own 65% US share is applied.</t>
  </si>
  <si>
    <t>So this build does two jobs: it cross-checks the national accounts figure, and it is the evidence behind the Industrials and Energy overweights. It is not a co-equal input to GDP.</t>
  </si>
  <si>
    <t>Step 1 — Capital expenditure as filed (US$ billions)</t>
  </si>
  <si>
    <t>Company</t>
  </si>
  <si>
    <t>CIK</t>
  </si>
  <si>
    <t>CY2024</t>
  </si>
  <si>
    <t>CY2025</t>
  </si>
  <si>
    <t>y/y</t>
  </si>
  <si>
    <t>Q1 2025</t>
  </si>
  <si>
    <t>Q1 2026</t>
  </si>
  <si>
    <t>Source: latest annual report</t>
  </si>
  <si>
    <t>Amazon</t>
  </si>
  <si>
    <t>10-K filed 06 Feb 2026 — accn 0001018724-26-000004</t>
  </si>
  <si>
    <t>Microsoft</t>
  </si>
  <si>
    <t>10-K filed 30 Jul 2025 — accn 0000950170-25-100235</t>
  </si>
  <si>
    <t>Alphabet</t>
  </si>
  <si>
    <t>10-K filed 05 Feb 2026 — accn 0001652044-26-000018</t>
  </si>
  <si>
    <t>Meta</t>
  </si>
  <si>
    <t>10-K filed 29 Jan 2026 — accn 0001628280-26-003942</t>
  </si>
  <si>
    <t>Oracle</t>
  </si>
  <si>
    <t>10-K filed 18 Jun 2025 — accn 0000950170-25-087926</t>
  </si>
  <si>
    <t>TOTAL</t>
  </si>
  <si>
    <t>All figures are the cash flow line 'purchases of property and equipment', retrieved July 30, 2026 from the SEC XBRL API (data.sec.gov). Tag: PaymentsToAcquirePropertyPlantAndEquipment for Microsoft, Alphabet, Meta and Oracle; PaymentsToAcquireProductiveAssets for Amazon.</t>
  </si>
  <si>
    <t>Three comparability caveats, disclosed rather than adjusted away:</t>
  </si>
  <si>
    <t>(i) Amazon's tag also picks up software and intangibles, so its figure is slightly broader.</t>
  </si>
  <si>
    <t>(ii) Microsoft's fiscal year ends 30 June and Oracle's 31 May, so their calendar figures are rebuilt from quarterly filings. Oracle's quarters do not line up with calendar quarters at all, so its CY2025 is a March-to-February proxy.</t>
  </si>
  <si>
    <t>(iii) Equipment acquired under finance leases is excluded, so true capital spending is higher - materially so for Amazon.</t>
  </si>
  <si>
    <t>Step 2 — Forward scenarios</t>
  </si>
  <si>
    <t>Scenario</t>
  </si>
  <si>
    <t>2026 capex ($B)</t>
  </si>
  <si>
    <t>Floor — latest quarter annualised</t>
  </si>
  <si>
    <t>Q1 2026 run rate held flat. Conservative: capital expenditure has ramped within each recent year.</t>
  </si>
  <si>
    <t>Ceiling — latest year-over-year rate sustained</t>
  </si>
  <si>
    <t>CY2025 grown at the Q1 2026 year-over-year rate. Aggressive: assumes 90% growth persists a full year.</t>
  </si>
  <si>
    <t>ADOPTED — midpoint</t>
  </si>
  <si>
    <t>Neither extreme is defensible on its own; the midpoint is carried forward.</t>
  </si>
  <si>
    <t>Implied growth on the adopted scenario</t>
  </si>
  <si>
    <t>Forward capex guidance is given on earnings calls, not in XBRL, and is a company statement rather than an</t>
  </si>
  <si>
    <t>audited figure. Both scenarios above come from filed data only, which keeps the whole build traceable to</t>
  </si>
  <si>
    <t>primary sources. The adopted midpoint falls inside the range of published sell-side estimates for these five.</t>
  </si>
  <si>
    <t>Step 3 — Mapping to U.S. private investment</t>
  </si>
  <si>
    <t>Incremental capital expenditure, 2026 versus 2025 ($B)</t>
  </si>
  <si>
    <t>Share located in the United States</t>
  </si>
  <si>
    <t>ASSUMPTION — see Limitations. Hyperscalers build globally; this share is not disclosed in a directly usable form.</t>
  </si>
  <si>
    <t>Incremental U.S. investment ($B)</t>
  </si>
  <si>
    <t>2025 gross private domestic investment ($B)</t>
  </si>
  <si>
    <t>Adjusted four-quarter average</t>
  </si>
  <si>
    <t>Hyperscaler share of total private investment</t>
  </si>
  <si>
    <t>Five companies as a share of all U.S. private investment</t>
  </si>
  <si>
    <t>AI contribution to investment growth</t>
  </si>
  <si>
    <t>Non-AI investment growth</t>
  </si>
  <si>
    <t>ASSUMPTION: rate-sensitive equipment, structures and housing grow slowly with the ten-year near 4.5%</t>
  </si>
  <si>
    <t>Non-AI contribution</t>
  </si>
  <si>
    <t>BOTTOM-UP INVESTMENT GROWTH</t>
  </si>
  <si>
    <t>Carried to the Investment Build as a memorandum cross-check only</t>
  </si>
  <si>
    <t>Imported equipment is not deducted here. A server installed in a US data center is US private investment and counts in full within</t>
  </si>
  <si>
    <t>GPDI. The matching import is recorded in net exports, so it is captured in the Net Trade Build rather than twice.</t>
  </si>
  <si>
    <t>Step 4 — Reconciliation with the national accounts</t>
  </si>
  <si>
    <t>Method</t>
  </si>
  <si>
    <t>Result</t>
  </si>
  <si>
    <t>Data source</t>
  </si>
  <si>
    <t>Top-down — BEA national accounts, adjusted</t>
  </si>
  <si>
    <t>Bureau of Economic Analysis, gross private domestic investment</t>
  </si>
  <si>
    <t>Bottom-up — hyperscaler filings</t>
  </si>
  <si>
    <t>SEC EDGAR XBRL, five companies</t>
  </si>
  <si>
    <t>Difference</t>
  </si>
  <si>
    <t>Two methods, entirely separate data</t>
  </si>
  <si>
    <t>Two methods built from unrelated data agree. That is the result worth reporting: it shows the top-down</t>
  </si>
  <si>
    <t>forecast is not an artifact of the national accounts, and that the AI capex cycle is already in the official</t>
  </si>
  <si>
    <t>statistics rather than assumed on top of them.</t>
  </si>
  <si>
    <t>Step 5 — Sensitivity: does this input drive the forecast?</t>
  </si>
  <si>
    <t>Bottom-up growth</t>
  </si>
  <si>
    <t>Top-down (adopted)</t>
  </si>
  <si>
    <t>Nominal GDP if bottom-up were adopted</t>
  </si>
  <si>
    <t>Floor</t>
  </si>
  <si>
    <t>Ceiling</t>
  </si>
  <si>
    <t>Adopted midpoint</t>
  </si>
  <si>
    <t>The finding. Swapping the bottom-up build in for the national accounts, across the full defensible capex range - a swing of over $200 billion - puts nominal GDP between</t>
  </si>
  <si>
    <t>5.08% and 5.55%, against the adopted 5.25%. The whole range is 47 basis points, and the midpoint sits 7 basis points from the forecast.</t>
  </si>
  <si>
    <t>Hyperscaler capex is enormous at company level and small at national level. Their US-deployed spend is about 5.1% of private investment and private investment is 18% of GDP.</t>
  </si>
  <si>
    <t>The weakest-sourced input in this model has the least influence on its output. That is why it can be shown openly as a cross-check rather than hidden or relied on.</t>
  </si>
  <si>
    <t>Government spending: BEA government consumption expenditures and gross investment, federal plus state and local.</t>
  </si>
  <si>
    <t>Judgment overlay</t>
  </si>
  <si>
    <t>No overlay: the measured trend already reflects the current fiscal stance. Adjust from CBO baseline projections if the outlook changes.</t>
  </si>
  <si>
    <t>State and local government is roughly 60% of this series and tracks tax receipts, which makes the total stable</t>
  </si>
  <si>
    <t>and its recent trend a reasonable forecast. The trailing and current measures agree closely - unlike</t>
  </si>
  <si>
    <t>investment - which is itself evidence that no data adjustment is needed here. Cross-checks: CBO baseline</t>
  </si>
  <si>
    <t>outlay projections and the Treasury Monthly Statement.</t>
  </si>
  <si>
    <t>Net exports: BEA net exports of goods and services. Measured in levels rather than growth rates, because the series is negative.</t>
  </si>
  <si>
    <t>Deficit Measurement (from adjusted source data)</t>
  </si>
  <si>
    <t>Trailing twelve-month average net exports ($B)</t>
  </si>
  <si>
    <t>2025 Q2 through 2026 Q1</t>
  </si>
  <si>
    <t>Prior twelve-month average net exports ($B)</t>
  </si>
  <si>
    <t>2024 Q2 through 2025 Q1, using the restated 2025 Q1</t>
  </si>
  <si>
    <t>FORECAST: change in net exports</t>
  </si>
  <si>
    <t>Negative indicates a narrowing deficit, which adds to GDP</t>
  </si>
  <si>
    <t>Why a negative figure adds to GDP. Output is consumption plus investment plus government plus exports less imports. Imports are</t>
  </si>
  <si>
    <t>subtracted because spending on foreign goods shows up in the other components but was not produced here. When the deficit narrows,</t>
  </si>
  <si>
    <t>less foreign production is subtracted and measured output rises. In the summary, a negative sector weight times a negative change</t>
  </si>
  <si>
    <t>gives a positive contribution. No judgment overlay: the distortion in this series was removed in the data.</t>
  </si>
  <si>
    <t>Sector Weight Derivation</t>
  </si>
  <si>
    <t>Year</t>
  </si>
  <si>
    <t>Nominal GDP ($B)</t>
  </si>
  <si>
    <t>Net exports ($B)</t>
  </si>
  <si>
    <t>Net exports as % of GDP</t>
  </si>
  <si>
    <t>Average, 2016-2025</t>
  </si>
  <si>
    <t>The trade deficit has averaged close to -3% of GDP over the past decade. That is the basis for the -3% sector</t>
  </si>
  <si>
    <t>weight in the summary. The 2015 figure is a reporting anomaly and is left out of the average.</t>
  </si>
  <si>
    <t>Ten-year Treasury forecast decomposed into an expected policy path and a term premium, anchored to published market and Federal Reserve data.</t>
  </si>
  <si>
    <t>Observed — Market Decomposition (Adrian-Crump-Moench model, Federal Reserve Bank of New York)</t>
  </si>
  <si>
    <t>Ten-year fitted yield</t>
  </si>
  <si>
    <t>ACM model, July 23, 2026 (newyorkfed.org)</t>
  </si>
  <si>
    <t>Risk-neutral yield — expected average policy rate</t>
  </si>
  <si>
    <t>ACM model, July 23, 2026. What the market expects the overnight rate to average over ten years.</t>
  </si>
  <si>
    <t>Term premium</t>
  </si>
  <si>
    <t>ACM model, July 23, 2026. Compensation demanded for holding duration.</t>
  </si>
  <si>
    <t>Check: components sum to the fitted yield</t>
  </si>
  <si>
    <t>Identity: yield = expected policy path + term premium</t>
  </si>
  <si>
    <t>Observed — Federal Reserve Projections (Summary of Economic Projections, June 2026)</t>
  </si>
  <si>
    <t>Median federal funds rate</t>
  </si>
  <si>
    <t>2026</t>
  </si>
  <si>
    <t>Raised from 3.4% in the March projection</t>
  </si>
  <si>
    <t>2027</t>
  </si>
  <si>
    <t>Raised from 3.1%</t>
  </si>
  <si>
    <t>2028</t>
  </si>
  <si>
    <t>Longer run</t>
  </si>
  <si>
    <t>The Committee estimate of the neutral rate</t>
  </si>
  <si>
    <t>Implied ten-year average of the FOMC path</t>
  </si>
  <si>
    <t>Three projection years followed by seven years at the longer-run rate</t>
  </si>
  <si>
    <t>Analysis — the market disagrees with the Committee</t>
  </si>
  <si>
    <t>Interpretation</t>
  </si>
  <si>
    <t>Market-implied average policy rate</t>
  </si>
  <si>
    <t>FOMC-implied average policy rate</t>
  </si>
  <si>
    <t>Gap</t>
  </si>
  <si>
    <t>The market prices a higher path than the Committee projects, on the view that sticky inflation keeps the Fed from returning to neutral</t>
  </si>
  <si>
    <t>This gap is the most important observation in the model. The Committee projects easing toward a 3.1% neutral rate. The market</t>
  </si>
  <si>
    <t>prices an average overnight rate well above that. ACCM sides with the market, and the direction of travel supports it: the June</t>
  </si>
  <si>
    <t>2026 projections raised the 2026 median from 3.4% to 3.8%, after projecting cuts in the two rounds before.</t>
  </si>
  <si>
    <t>ACCM Forecast</t>
  </si>
  <si>
    <t>Building block</t>
  </si>
  <si>
    <t>Expected average policy rate</t>
  </si>
  <si>
    <t>ASSUMPTION: held at the market-implied level; inflation persistence keeps the near-term path elevated while the long-run anchor pulls it down</t>
  </si>
  <si>
    <t>ASSUMPTION: rises from the observed 0.72% on AI capital demand, Treasury supply and balance-sheet runoff; still well below the pre-2008 norm</t>
  </si>
  <si>
    <t>Change from the observed yield</t>
  </si>
  <si>
    <t>Modest increase from the prevailing level</t>
  </si>
  <si>
    <t>Term Premium Drivers</t>
  </si>
  <si>
    <t>Driver</t>
  </si>
  <si>
    <t>Direction</t>
  </si>
  <si>
    <t>Reasoning</t>
  </si>
  <si>
    <t>AI capital demand</t>
  </si>
  <si>
    <t>Higher</t>
  </si>
  <si>
    <t>A capex boom pushes investment demand out against a fixed pool of savings, raising the equilibrium real rate. Increasingly debt-financed, which adds directly to the supply of duration.</t>
  </si>
  <si>
    <t>Fiscal supply</t>
  </si>
  <si>
    <t>Federal deficits near 6% of GDP require sustained Treasury issuance, absorbed by price-sensitive rather than official buyers.</t>
  </si>
  <si>
    <t>Balance sheet reduction</t>
  </si>
  <si>
    <t>The Federal Reserve is no longer absorbing duration; quantitative easing suppressed the term premium for roughly a decade.</t>
  </si>
  <si>
    <t>Foreign official demand</t>
  </si>
  <si>
    <t>Reduced reserve accumulation removes a price-insensitive source of demand.</t>
  </si>
  <si>
    <t>Inflation uncertainty</t>
  </si>
  <si>
    <t>Persistent inflation raises the compensation demanded for the risk of an upside surprise.</t>
  </si>
  <si>
    <t>The observed term premium of 0.72% is far below its pre-2008 average, which routinely topped 1.5%. The forecast assumes</t>
  </si>
  <si>
    <t>only partial normalization. This is where the AI thesis enters the rate forecast - through capital demand and the supply</t>
  </si>
  <si>
    <t>of duration, not through faster growth. So the forecast holds even if growth disappoints.</t>
  </si>
  <si>
    <t>Cross-check — Growth Anchor</t>
  </si>
  <si>
    <t>Real GDP growth</t>
  </si>
  <si>
    <t>Nominal growth anchor</t>
  </si>
  <si>
    <t>In equilibrium the natural rate of interest approximates the growth rate of the economy</t>
  </si>
  <si>
    <t>Historical spread of the ten-year to nominal growth</t>
  </si>
  <si>
    <t>ASSUMPTION: the ten-year has traded below nominal growth since roughly 2000</t>
  </si>
  <si>
    <t>Cross-check estimate</t>
  </si>
  <si>
    <t>The growth anchor is kept as an independent method. Where it differs from the market decomposition, the gap is</t>
  </si>
  <si>
    <t>informative: a term premium above the historical spread means investors want more compensation for duration</t>
  </si>
  <si>
    <t>than growth alone would justify. That is the argument made above.</t>
  </si>
  <si>
    <t>Sensitivity — ten-year yield</t>
  </si>
  <si>
    <t>Expected policy rate</t>
  </si>
  <si>
    <t>Term premium 0.72% (observed)</t>
  </si>
  <si>
    <t>0.85% (forecast)</t>
  </si>
  <si>
    <t>1.00%</t>
  </si>
  <si>
    <t>1.25%</t>
  </si>
  <si>
    <t>Reconciling this model's forecast horizon with published calendar-year projections.</t>
  </si>
  <si>
    <t>This model forecasts twelve months forward from the build date. The Federal Reserve and forecaster surveys publish on a</t>
  </si>
  <si>
    <t>fourth-quarter-over-fourth-quarter calendar-year basis. The two are not directly comparable: by mid-2026 the calendar</t>
  </si>
  <si>
    <t>2026 projection is mostly realized history, while this model covers the second half of 2026 and the first half of 2027.</t>
  </si>
  <si>
    <t>Comparing them without adjusting overstates or understates the gap, depending on which way the projected path runs.</t>
  </si>
  <si>
    <t>Aligning the horizons</t>
  </si>
  <si>
    <t>Calendar 2026 (Q4/Q4)</t>
  </si>
  <si>
    <t>Calendar 2027 (Q4/Q4)</t>
  </si>
  <si>
    <t>Implied mid-2026 to mid-2027</t>
  </si>
  <si>
    <t>FOMC SEP — PCE inflation</t>
  </si>
  <si>
    <t>3.6%</t>
  </si>
  <si>
    <t>2.3%</t>
  </si>
  <si>
    <t>~2.95%</t>
  </si>
  <si>
    <t>Summary of Economic Projections, June 17, 2026</t>
  </si>
  <si>
    <t>Converted to a CPI basis (+0.35pp)</t>
  </si>
  <si>
    <t>~3.95%</t>
  </si>
  <si>
    <t>~2.65%</t>
  </si>
  <si>
    <t>~3.30%</t>
  </si>
  <si>
    <t>CPI has historically exceeded PCE by roughly a third of a point</t>
  </si>
  <si>
    <t>Philadelphia Fed SPF — headline CPI</t>
  </si>
  <si>
    <t>3.5%</t>
  </si>
  <si>
    <t>2.5%</t>
  </si>
  <si>
    <t>~3.00%</t>
  </si>
  <si>
    <t>Q2 2026 survey, 33 forecasters</t>
  </si>
  <si>
    <t>FOMC SEP — real GDP</t>
  </si>
  <si>
    <t>2.2%</t>
  </si>
  <si>
    <t>~2.25%</t>
  </si>
  <si>
    <t>FOMC SEP — federal funds rate</t>
  </si>
  <si>
    <t>3.8%</t>
  </si>
  <si>
    <t>~3.70%</t>
  </si>
  <si>
    <t>Year-end median projections</t>
  </si>
  <si>
    <t>This model against the aligned benchmarks</t>
  </si>
  <si>
    <t>ACCM forecast</t>
  </si>
  <si>
    <t>Aligned benchmark</t>
  </si>
  <si>
    <t>Assessment</t>
  </si>
  <si>
    <t>Inflation (CPI basis)</t>
  </si>
  <si>
    <t>~3.0% to 3.3%</t>
  </si>
  <si>
    <t>Modestly above</t>
  </si>
  <si>
    <t>Consistent with the inflation-persistence thesis</t>
  </si>
  <si>
    <t>~1.8 to 2.2%</t>
  </si>
  <si>
    <t>Approximate</t>
  </si>
  <si>
    <t>Derived by deflating with a CPI-style build, not a GDP deflator. Not a thesis input.</t>
  </si>
  <si>
    <t>Ten-year Treasury</t>
  </si>
  <si>
    <t>4.78% prevailing</t>
  </si>
  <si>
    <t>A forecast of further term premium normalization</t>
  </si>
  <si>
    <t>Unemployment rate</t>
  </si>
  <si>
    <t>4.3%</t>
  </si>
  <si>
    <t>Broadly in line</t>
  </si>
  <si>
    <t>FOMC projection for the fourth quarter of 2026</t>
  </si>
  <si>
    <t>Read: the model is slightly below official projections on real growth, in line on unemployment, and more hawkish on inflation and</t>
  </si>
  <si>
    <t>rates. That is the intended pattern. The portfolio thesis is a view on inflation persistence and the level of rates, not on the</t>
  </si>
  <si>
    <t>pace of real activity. A model that also diverged on growth would be making several bets at once instead of one.</t>
  </si>
  <si>
    <t>Validation of the model output against professional forecasters, and identification of where the house view diverges.</t>
  </si>
  <si>
    <t>2026 Forecast Comparison</t>
  </si>
  <si>
    <t>Real GDP</t>
  </si>
  <si>
    <t>Inflation</t>
  </si>
  <si>
    <t>Policy rate path</t>
  </si>
  <si>
    <t>Published</t>
  </si>
  <si>
    <t>ACCM (this model)</t>
  </si>
  <si>
    <t>Elevated; ten-year forecast 4.90%</t>
  </si>
  <si>
    <t>FOMC Summary of Economic Projections</t>
  </si>
  <si>
    <t>3.6% PCE / 3.3% core PCE</t>
  </si>
  <si>
    <t>3.8% (2026), 3.6% (2027), 3.4% (2028), 3.1% longer run</t>
  </si>
  <si>
    <t>Philadelphia Fed Survey of Professional Forecasters</t>
  </si>
  <si>
    <t>3.5% CPI, Q4 over Q4</t>
  </si>
  <si>
    <t>Not published</t>
  </si>
  <si>
    <t>Bloomberg economist consensus</t>
  </si>
  <si>
    <t>2.1%</t>
  </si>
  <si>
    <t>3.4% CPI</t>
  </si>
  <si>
    <t>Easing toward 3.5%</t>
  </si>
  <si>
    <t>J.P. Morgan Asset Management</t>
  </si>
  <si>
    <t>1.8-2.0%</t>
  </si>
  <si>
    <t>CPI peaking near 3.5%, then easing</t>
  </si>
  <si>
    <t>Two cuts expected</t>
  </si>
  <si>
    <t>Mid-2026 outlook</t>
  </si>
  <si>
    <t>Market pricing (ACM decomposition)</t>
  </si>
  <si>
    <t>n/a</t>
  </si>
  <si>
    <t>Average overnight rate of 4.06% over ten years</t>
  </si>
  <si>
    <t>Growth. Real GDP is derived by deflating nominal growth with this model's CPI-style inflation build rather than a GDP deflator, so it</t>
  </si>
  <si>
    <t>is approximate. The house view rests on nominal growth, inflation persistence and the level of rates, not on a real growth call.</t>
  </si>
  <si>
    <t>Inflation. The comparison needs care. Published projections are fourth-quarter-over-fourth-quarter for a calendar year; this model forecasts twelve months forward. Aligned to mid-2026 through mid-2027, the FOMC path implies roughly 3.3% CPI and the SPF roughly 3.0%. This model sits modestly above both,</t>
  </si>
  <si>
    <t>consistent with the inflation-persistence thesis. Comparing directly against the calendar-2026 figure would be an error, since most of that year has already happened. See Period Alignment.</t>
  </si>
  <si>
    <t>Rates. The Committee raised its 2026 policy rate projection from 3.4% to 3.8% between March and June, after projecting cuts twice. Market pricing is more hawkish still - an average overnight rate of 4.06% over ten years against the 3.25% implied by the Committee path. ACCM is aligned with the market.</t>
  </si>
  <si>
    <t>AI Capital Expenditure — Filed Data and External Corroboration</t>
  </si>
  <si>
    <t>Figure</t>
  </si>
  <si>
    <t>ACCM, from SEC filings</t>
  </si>
  <si>
    <t>2025 actual $424.3B for the five hyperscalers, +74.4% year over year; Q1 2026 running +90.8%</t>
  </si>
  <si>
    <t>10-K and 10-Q XBRL, accession numbers on the AI Capex Build sheet</t>
  </si>
  <si>
    <t>ACCM, adopted forward scenario</t>
  </si>
  <si>
    <t>$701.6B for 2026, the midpoint of a $593.5B floor and an $809.6B ceiling</t>
  </si>
  <si>
    <t>Both bounds derived from filed data; no reliance on guidance</t>
  </si>
  <si>
    <t>J.P. Morgan Global Research</t>
  </si>
  <si>
    <t>Hyperscaler capex $650B in 2026, above $1.1T in 2027; global AI capex $5.5T through 2030</t>
  </si>
  <si>
    <t>Midyear outlook, June 24, 2026</t>
  </si>
  <si>
    <t>Sell-side consensus</t>
  </si>
  <si>
    <t>Roughly $697B for the five companies in 2026, raised by $173B since January</t>
  </si>
  <si>
    <t>Mid-2026</t>
  </si>
  <si>
    <t>AI capex contributed 1.1% to GDP growth in the first half of 2025</t>
  </si>
  <si>
    <t>On the Minds of Investors — see the reconciliation note below</t>
  </si>
  <si>
    <t>CreditSights</t>
  </si>
  <si>
    <t>Recurring hyperscaler capex estimate series</t>
  </si>
  <si>
    <t>2026, updated periodically</t>
  </si>
  <si>
    <t>The adopted forward figure of $701.6B sits slightly above J.P. Morgan Global Research at $650B and sell-side consensus at $697B, and is</t>
  </si>
  <si>
    <t>$697B, and is derived independently of both - from filed capex rather than guidance or analyst aggregation. Three</t>
  </si>
  <si>
    <t>sources using different methods landing within about 8% of each other is meaningful support.</t>
  </si>
  <si>
    <t>Reconciling the J.P. Morgan Asset Management figure. Their 1.1% contribution to GDP growth and this model's roughly 0.6 point are not in</t>
  </si>
  <si>
    <t>conflict - they measure different things. J.P. Morgan covers all AI-related investment across the economy (data centres, power,</t>
  </si>
  <si>
    <t>semiconductors, software) for the first half of 2025. This model covers only the incremental US capex of five named companies over twelve</t>
  </si>
  <si>
    <t>months forward. The narrower definition gives the smaller number, and the gap is about the size the difference in scope would predict.</t>
  </si>
  <si>
    <t>Reference Sources</t>
  </si>
  <si>
    <t>Publication</t>
  </si>
  <si>
    <t>Access and frequency</t>
  </si>
  <si>
    <t>Philadelphia Fed, Survey of Professional Forecasters</t>
  </si>
  <si>
    <t>philadelphiafed.org — quarterly, February, May, August, November</t>
  </si>
  <si>
    <t>Federal Reserve, Summary of Economic Projections</t>
  </si>
  <si>
    <t>federalreserve.gov — March, June, September, December meetings</t>
  </si>
  <si>
    <t>Federal Reserve Bank of New York, ACM term premium estimates</t>
  </si>
  <si>
    <t>newyorkfed.org — daily; used for the interest rate decomposition</t>
  </si>
  <si>
    <t>Congressional Budget Office, Budget and Economic Outlook</t>
  </si>
  <si>
    <t>cbo.gov — two to three updates per year</t>
  </si>
  <si>
    <t>Bureau of Economic Analysis, National Income and Product Accounts</t>
  </si>
  <si>
    <t>bea.gov via fred.stlouisfed.org — quarterly</t>
  </si>
  <si>
    <t>Bureau of Labor Statistics, Employment Situation</t>
  </si>
  <si>
    <t>bls.gov — monthly, first Friday</t>
  </si>
  <si>
    <t>Federal Reserve Bank of Atlanta, Wage Growth Tracker</t>
  </si>
  <si>
    <t>atlantafed.org — monthly</t>
  </si>
  <si>
    <t>SEC EDGAR XBRL company-concept API</t>
  </si>
  <si>
    <t>data.sec.gov — capital expenditure as filed; updated each 10-Q and 10-K</t>
  </si>
  <si>
    <t>Commodity Basket Refresh</t>
  </si>
  <si>
    <t>Comparison of the materials basket at the model build date and at July 25, 2026, with a diagnostic on which reading to adopt.</t>
  </si>
  <si>
    <t>Basket comparison</t>
  </si>
  <si>
    <t>Build: spot</t>
  </si>
  <si>
    <t>Build: 1yr fwd</t>
  </si>
  <si>
    <t>Build: change</t>
  </si>
  <si>
    <t>Current: spot</t>
  </si>
  <si>
    <t>Current: 1yr fwd</t>
  </si>
  <si>
    <t>Current: change</t>
  </si>
  <si>
    <t>WTI Crude</t>
  </si>
  <si>
    <t>Live Cattle</t>
  </si>
  <si>
    <t>Weighted net materials inflation</t>
  </si>
  <si>
    <t>Coffee is quoted in dollars per pound at the build date and cents per pound in the refreshed pull. The percentage change is unaffected,</t>
  </si>
  <si>
    <t>since both halves of each ratio use the same units. Prices retrieved July 25, 2026 from exchange futures (CME, CBOT, COMEX, ICE) via Yahoo</t>
  </si>
  <si>
    <t>Finance. The deferred contract is the July 2027 expiry, or the nearest listed month where July is not traded.</t>
  </si>
  <si>
    <t>Resulting inflation forecast</t>
  </si>
  <si>
    <t>Vintage</t>
  </si>
  <si>
    <t>Labor (68%)</t>
  </si>
  <si>
    <t>Materials (32%)</t>
  </si>
  <si>
    <t>Blended forecast</t>
  </si>
  <si>
    <t>Model build date</t>
  </si>
  <si>
    <t>Refreshed, July 25, 2026</t>
  </si>
  <si>
    <t>Diagnostic — why the refreshed reading is not adopted</t>
  </si>
  <si>
    <t>Test</t>
  </si>
  <si>
    <t>Finding</t>
  </si>
  <si>
    <t>What drove the change</t>
  </si>
  <si>
    <t>Mostly crude, but not only. Of the 4.45 point fall, crude is 2.26 points (51%) as its curve moved from flat into steep backwardation - spot $83.96 against July 2027 at $70.81. Corn is another 1.21 points (27%) as its forward premium collapsed from +18.4% to +6.2%. The other six share the remaining 22%.</t>
  </si>
  <si>
    <t>Is the spot price representative</t>
  </si>
  <si>
    <t>No. Spot is elevated by a geopolitical supply disruption. Using an event-inflated spot as the denominator manufactures a forecast of falling prices - the same distortion corrected in the investment and trade series, and fixable the same way.</t>
  </si>
  <si>
    <t>Are futures curves reliable predictors</t>
  </si>
  <si>
    <t>Only partly. A futures curve prices storage costs, convenience yield and risk premia as well as expectations. Backwardation in crude usually signals tightness now, not cheaper oil later.</t>
  </si>
  <si>
    <t>Internal consistency check</t>
  </si>
  <si>
    <t>Decisive. Nominal GDP of 5.25% less 2.0% inflation implies real growth of 3.2%, against consensus near 2.2%. Hold nominal GDP and consensus real growth, and the implied inflation rate is about 3.0%.</t>
  </si>
  <si>
    <t>Coverage limitation</t>
  </si>
  <si>
    <t>The basket measures producer input costs. CPI is about two-thirds services, and shelter alone is roughly a third of the index and its stickiest part. A commodity-weighted basket understates inflation when goods fall while services do not.</t>
  </si>
  <si>
    <t>Conclusion</t>
  </si>
  <si>
    <t>The model keeps the build-date inflation forecast. The refreshed basket is shown here as a disclosed sensitivity, not adopted, for two reasons. Crude is the largest single contributor to the move, at about half of it, and its spot price is event-distorted. The resulting</t>
  </si>
  <si>
    <t>from an event-distorted crude spot price, and the resulting forecast fails the consistency check against consensus real growth.</t>
  </si>
  <si>
    <t>The refreshed reading does carry a real signal, and one the Fed shares: energy normalization pulls headline inflation lower through 2027, which is exactly the FOMC path from 3.6%</t>
  </si>
  <si>
    <t>PCE in 2026 to 2.3% in 2027.</t>
  </si>
  <si>
    <t>The portfolio thesis does not rest on this. The rate forecast is built from the market-implied policy path and the term premium, neither of which uses the commodity basket.</t>
  </si>
  <si>
    <t>Limitations and Known Sensitivities</t>
  </si>
  <si>
    <t>Disclosed weaknesses, their direction, and their magnitude. Stated before they are asked about.</t>
  </si>
  <si>
    <t>Every forecast rests on assumptions that may be wrong. What separates professional work from amateur work is</t>
  </si>
  <si>
    <t>not the absence of weakness but whether it is identified, sized and disclosed. This is the full list for this</t>
  </si>
  <si>
    <t>model.</t>
  </si>
  <si>
    <t>Structural limitations</t>
  </si>
  <si>
    <t>Limitation</t>
  </si>
  <si>
    <t>Effect</t>
  </si>
  <si>
    <t>Magnitude</t>
  </si>
  <si>
    <t>The inflation model has no shelter component</t>
  </si>
  <si>
    <t>The build weights labor 68% and materials 32% - production-cost weights. CPI is about two-thirds services, and shelter alone is roughly a third of the index and its stickiest part. The model will understate inflation whenever services run hot while goods fall, which is the current regime.</t>
  </si>
  <si>
    <t>Material. The single largest structural weakness. The fix is a rebuild at BLS relative-importance weights, identified as future work.</t>
  </si>
  <si>
    <t>Crude oil is over-weighted relative to CPI</t>
  </si>
  <si>
    <t>Crude carries 30% of the materials basket and therefore 9.6% of the inflation forecast, against roughly 6.2% for energy in the actual CPI basket.</t>
  </si>
  <si>
    <t>Moderate. Roughly three points of excess weight, which amplifies the forecast's sensitivity to energy shocks.</t>
  </si>
  <si>
    <t>Futures curves are imperfect predictors of spot prices</t>
  </si>
  <si>
    <t>A futures curve prices storage costs, convenience yield and risk premia alongside expectations. Backwardation in crude usually signals tightness now, not cheaper oil later.</t>
  </si>
  <si>
    <t>Moderate. Documented in the Commodity Refresh sheet, where a raw refresh of the basket is shown and rejected on these grounds.</t>
  </si>
  <si>
    <t>Five companies are an unrepresentative sample of national investment</t>
  </si>
  <si>
    <t>The bottom-up capital expenditure build covers firms accounting for under eight percent of gross private domestic investment.</t>
  </si>
  <si>
    <t>Contained by design. The build is a cross-check, not an input. The sensitivity on the AI Capex Build sheet shows that adopting it outright across the full capex range moves nominal GDP within a 47 basis point band, with the midpoint 8 basis points from the forecast.</t>
  </si>
  <si>
    <t>Unsupported assumptions</t>
  </si>
  <si>
    <t>Assumption</t>
  </si>
  <si>
    <t>Basis and sensitivity</t>
  </si>
  <si>
    <t>Share of hyperscaler capital expenditure located in the United States</t>
  </si>
  <si>
    <t>65%</t>
  </si>
  <si>
    <t>Not disclosed in usable form. Companies report long-lived assets by geography under ASC 280-10-50-41, but as a balance-sheet stock rather than a flow, and segment boundaries differ. Sensitivity: each ten-point change moves the bottom-up estimate about 0.5 points and nominal GDP under 5 basis points - on a cross-check that is not adopted.</t>
  </si>
  <si>
    <t>1.5%</t>
  </si>
  <si>
    <t>Judgment: rate-sensitive equipment, structures and housing grow slowly with the ten-year near 4.5%. Applies only within the bottom-up cross-check.</t>
  </si>
  <si>
    <t>Equal weighting of trailing-year and current-year growth measures</t>
  </si>
  <si>
    <t>50 / 50</t>
  </si>
  <si>
    <t>Judgment: balances a stable measure against a current one. A 70/30 tilt toward the current measure would raise investment growth about 0.9 points and nominal GDP about 16 basis points.</t>
  </si>
  <si>
    <t>Term premium forecast</t>
  </si>
  <si>
    <t>0.85%</t>
  </si>
  <si>
    <t>Observed ACM term premium of 0.72% plus 13 basis points of assumed further normalization. A disclosed active view, not a plug: anchored to a published, measured quantity, with five stated drivers.</t>
  </si>
  <si>
    <t>4.05%</t>
  </si>
  <si>
    <t>Set at the market-implied level of 4.06% from the ACM decomposition. The model takes market pricing over the FOMC projection of 3.25%.</t>
  </si>
  <si>
    <t>Absorption rate of new labor force entrants</t>
  </si>
  <si>
    <t>73%</t>
  </si>
  <si>
    <t>Judgment within the Consumer Build.</t>
  </si>
  <si>
    <t>Concentration risk</t>
  </si>
  <si>
    <t>Five companies deploy roughly 5% of all US private investment once their 65% domestic share is applied. Their combined capex grew 74% in 2025,</t>
  </si>
  <si>
    <t>with the latest quarter running 91% above a year earlier. The portfolio's Industrials and Energy overweights</t>
  </si>
  <si>
    <t>are directly levered to that spending. A material cut by any one of them would hit those sectors fast and</t>
  </si>
  <si>
    <t>would not show in the national accounts for at least a quarter. This is an identified, unhedged risk.</t>
  </si>
  <si>
    <t>What this model does not attempt</t>
  </si>
  <si>
    <t>Excluded</t>
  </si>
  <si>
    <t>Reason</t>
  </si>
  <si>
    <t>Recession probability</t>
  </si>
  <si>
    <t>The model forecasts a central path, not a distribution. It contains no mechanism for regime change.</t>
  </si>
  <si>
    <t>Quarterly path</t>
  </si>
  <si>
    <t>All outputs are twelve-month forward averages. The model says nothing about sequencing within the year.</t>
  </si>
  <si>
    <t>Policy reaction function</t>
  </si>
  <si>
    <t>The Fed path is taken from market pricing rather than modeled as a response to the model's own inflation and unemployment forecasts. That makes the rate forecast partly exogenous.</t>
  </si>
  <si>
    <t>Exchange rates and international spillovers</t>
  </si>
  <si>
    <t>Net trade is forecast from its own trend, without a currency or foreign demand channel.</t>
  </si>
  <si>
    <t>SEC EDGAR XBRL - five hyperscalers</t>
  </si>
  <si>
    <t xml:space="preserve">Real GDP is the figure quoted in the press and the one to compare against published forecasts. </t>
  </si>
  <si>
    <t>The rate forecast sets fixed income positioning and the equity discount rate.</t>
  </si>
  <si>
    <t>The portfolio rests on nominal growth, inflation and interest rates, each of which this model forecasts directly.</t>
  </si>
  <si>
    <t>Note on real GDP. The figure above deflates nominal growth by this model's inflation build, which is constructed from labor and materials costs on a CPI-style basis.</t>
  </si>
  <si>
    <t xml:space="preserve"> Real growth here is therefore best read as approximately 1.8 to 2.2 percent rather than as a point estimate. </t>
  </si>
  <si>
    <t>The official real GDP series uses the GDP deflator, which excludes imports and weights components differently, and typically runs a few tenths below CPI.</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</si>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</sst>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0.00##"/>
    <numFmt numFmtId="167" formatCode="#,##0.0;\(#,##0.0\)"/>
    <numFmt numFmtId="168" formatCode="\+#,##0.0;\-#,##0.0"/>
    <numFmt numFmtId="169" formatCode="\+0.0%;\-0.0%"/>
    <numFmt numFmtId="170" formatCode="0.0%"/>
    <numFmt numFmtId="171" formatCode="\+0.00%;\-0.00%"/>
  </numFmts>
  <fonts count="32" x14ac:knownFonts="1">
    <font>
      <sz val="11"/>
      <color theme="1"/>
      <name val="Calibri"/>
      <family val="2"/>
      <charset val="1"/>
    </font>
    <font>
      <sz val="10"/>
      <name val="Arial"/>
      <family val="2"/>
    </font>
    <font>
      <sz val="11"/>
      <name val="Calibri"/>
      <family val="2"/>
      <charset val="1"/>
    </font>
    <font>
      <sz val="11"/>
      <name val="Arial"/>
      <family val="2"/>
      <charset val="1"/>
    </font>
    <font>
      <b/>
      <sz val="11"/>
      <color rgb="FF1F3A5F"/>
      <name val="Arial"/>
      <family val="2"/>
      <charset val="1"/>
    </font>
    <font>
      <sz val="9"/>
      <name val="Arial"/>
      <family val="2"/>
      <charset val="1"/>
    </font>
    <font>
      <sz val="9"/>
      <name val="Calibri"/>
      <family val="2"/>
      <charset val="1"/>
    </font>
    <font>
      <b/>
      <sz val="9"/>
      <color rgb="FF000000"/>
      <name val="Calibri"/>
      <family val="2"/>
      <charset val="1"/>
    </font>
    <font>
      <b/>
      <sz val="9"/>
      <name val="Arial"/>
      <family val="2"/>
      <charset val="1"/>
    </font>
    <font>
      <b/>
      <sz val="14"/>
      <color rgb="FF1F3A5F"/>
      <name val="Arial"/>
      <family val="2"/>
      <charset val="1"/>
    </font>
    <font>
      <b/>
      <sz val="8.5"/>
      <name val="Arial"/>
      <family val="2"/>
      <charset val="1"/>
    </font>
    <font>
      <sz val="8.5"/>
      <name val="Arial"/>
      <family val="2"/>
      <charset val="1"/>
    </font>
    <font>
      <b/>
      <sz val="11"/>
      <name val="Arial"/>
      <family val="2"/>
      <charset val="1"/>
    </font>
    <font>
      <sz val="11"/>
      <color rgb="FF0000FF"/>
      <name val="Arial"/>
      <family val="2"/>
      <charset val="1"/>
    </font>
    <font>
      <sz val="11"/>
      <color rgb="FF008000"/>
      <name val="Arial"/>
      <family val="2"/>
      <charset val="1"/>
    </font>
    <font>
      <b/>
      <sz val="12"/>
      <color rgb="FF1F3A5F"/>
      <name val="Arial"/>
      <family val="2"/>
    </font>
    <font>
      <sz val="11"/>
      <name val="Arial"/>
      <family val="2"/>
    </font>
    <font>
      <b/>
      <sz val="22"/>
      <color rgb="FF1F3A5F"/>
      <name val="Arial"/>
      <family val="2"/>
    </font>
    <font>
      <b/>
      <sz val="11"/>
      <color rgb="FF1F3A5F"/>
      <name val="Arial"/>
      <family val="2"/>
    </font>
    <font>
      <sz val="9"/>
      <name val="Arial"/>
      <family val="2"/>
    </font>
    <font>
      <b/>
      <sz val="9"/>
      <color rgb="FF000000"/>
      <name val="Arial"/>
      <family val="2"/>
    </font>
    <font>
      <b/>
      <sz val="9"/>
      <name val="Arial"/>
      <family val="2"/>
    </font>
    <font>
      <sz val="10"/>
      <color rgb="FF0000FF"/>
      <name val="Arial"/>
      <family val="2"/>
    </font>
    <font>
      <sz val="11"/>
      <color theme="1"/>
      <name val="Arial"/>
      <family val="2"/>
    </font>
    <font>
      <sz val="10"/>
      <color rgb="FF000000"/>
      <name val="Arial"/>
      <family val="2"/>
    </font>
    <font>
      <sz val="10"/>
      <color rgb="FF008000"/>
      <name val="Arial"/>
      <family val="2"/>
    </font>
    <font>
      <b/>
      <sz val="14"/>
      <color rgb="FF1F3A5F"/>
      <name val="Arial"/>
      <family val="2"/>
    </font>
    <font>
      <sz val="11"/>
      <color rgb="FF0000FF"/>
      <name val="Arial"/>
      <family val="2"/>
    </font>
    <font>
      <b/>
      <sz val="11"/>
      <name val="Arial"/>
      <family val="2"/>
    </font>
    <font>
      <sz val="11"/>
      <color rgb="FF008000"/>
      <name val="Arial"/>
      <family val="2"/>
    </font>
    <font>
      <sz val="8.5"/>
      <name val="Arial"/>
      <family val="2"/>
    </font>
    <font>
      <b/>
      <sz val="8.5"/>
      <name val="Arial"/>
      <family val="2"/>
    </font>
  </fonts>
  <fills count="2">
    <fill>
      <patternFill patternType="none"/>
    </fill>
    <fill>
      <patternFill patternType="gray125"/>
    </fill>
  </fills>
  <borders count="4">
    <border>
      <left/>
      <right/>
      <top/>
      <bottom/>
      <diagonal/>
    </border>
    <border>
      <left/>
      <right/>
      <top/>
      <bottom style="medium">
        <color rgb="FF1F3A5F"/>
      </bottom>
      <diagonal/>
    </border>
    <border>
      <left style="thin">
        <color rgb="FFBFBFBF"/>
      </left>
      <right style="thin">
        <color rgb="FFBFBFBF"/>
      </right>
      <top style="thin">
        <color rgb="FFBFBFBF"/>
      </top>
      <bottom style="thin">
        <color rgb="FFBFBFBF"/>
      </bottom>
      <diagonal/>
    </border>
    <border>
      <left/>
      <right/>
      <top style="thin">
        <color auto="1"/>
      </top>
      <bottom style="double">
        <color auto="1"/>
      </bottom>
      <diagonal/>
    </border>
  </borders>
  <cellStyleXfs count="1">
    <xf numFmtId="0" fontId="0" fillId="0" borderId="0"/>
  </cellStyleXfs>
  <cellXfs count="107">
    <xf numFmtId="0" fontId="0" fillId="0" borderId="0" xfId="0"/>
    <xf numFmtId="0" fontId="2" fillId="0" borderId="0" xfId="0" applyFont="1"/>
    <xf numFmtId="0" fontId="4" fillId="0" borderId="0" xfId="0" applyFont="1"/>
    <xf numFmtId="0" fontId="5" fillId="0" borderId="0" xfId="0" applyFont="1" applyAlignment="1">
      <alignment vertical="top"/>
    </xf>
    <xf numFmtId="0" fontId="6" fillId="0" borderId="0" xfId="0" applyFont="1"/>
    <xf numFmtId="0" fontId="7" fillId="0" borderId="1" xfId="0" applyFont="1" applyBorder="1" applyAlignment="1">
      <alignment horizontal="left" wrapText="1"/>
    </xf>
    <xf numFmtId="0" fontId="7" fillId="0" borderId="1" xfId="0" applyFont="1" applyBorder="1" applyAlignment="1">
      <alignment horizontal="center" wrapText="1"/>
    </xf>
    <xf numFmtId="0" fontId="5" fillId="0" borderId="0" xfId="0" applyFont="1"/>
    <xf numFmtId="0" fontId="9" fillId="0" borderId="0" xfId="0" applyFont="1"/>
    <xf numFmtId="0" fontId="10" fillId="0" borderId="2" xfId="0" applyFont="1" applyBorder="1" applyAlignment="1">
      <alignment vertical="top" wrapText="1"/>
    </xf>
    <xf numFmtId="0" fontId="11" fillId="0" borderId="2" xfId="0" applyFont="1" applyBorder="1" applyAlignment="1">
      <alignment vertical="top" wrapText="1"/>
    </xf>
    <xf numFmtId="0" fontId="12" fillId="0" borderId="2" xfId="0" applyFont="1" applyBorder="1"/>
    <xf numFmtId="9" fontId="13" fillId="0" borderId="2" xfId="0" applyNumberFormat="1" applyFont="1" applyBorder="1"/>
    <xf numFmtId="10" fontId="14" fillId="0" borderId="2" xfId="0" applyNumberFormat="1" applyFont="1" applyBorder="1"/>
    <xf numFmtId="10" fontId="3" fillId="0" borderId="2" xfId="0" applyNumberFormat="1" applyFont="1" applyBorder="1"/>
    <xf numFmtId="0" fontId="5" fillId="0" borderId="0" xfId="0" applyFont="1" applyAlignment="1">
      <alignment vertical="top" wrapText="1"/>
    </xf>
    <xf numFmtId="0" fontId="12" fillId="0" borderId="3" xfId="0" applyFont="1" applyBorder="1"/>
    <xf numFmtId="9" fontId="12" fillId="0" borderId="2" xfId="0" applyNumberFormat="1" applyFont="1" applyBorder="1"/>
    <xf numFmtId="10" fontId="12" fillId="0" borderId="3" xfId="0" applyNumberFormat="1" applyFont="1" applyBorder="1"/>
    <xf numFmtId="0" fontId="3" fillId="0" borderId="2" xfId="0" applyFont="1" applyBorder="1"/>
    <xf numFmtId="10" fontId="14" fillId="0" borderId="2" xfId="0" applyNumberFormat="1" applyFont="1" applyBorder="1" applyAlignment="1">
      <alignment horizontal="right"/>
    </xf>
    <xf numFmtId="10" fontId="12" fillId="0" borderId="3" xfId="0" applyNumberFormat="1" applyFont="1" applyBorder="1" applyAlignment="1">
      <alignment horizontal="right"/>
    </xf>
    <xf numFmtId="9" fontId="13" fillId="0" borderId="2" xfId="0" applyNumberFormat="1" applyFont="1" applyBorder="1" applyAlignment="1">
      <alignment horizontal="right"/>
    </xf>
    <xf numFmtId="10" fontId="3" fillId="0" borderId="2" xfId="0" applyNumberFormat="1" applyFont="1" applyBorder="1" applyAlignment="1">
      <alignment horizontal="right"/>
    </xf>
    <xf numFmtId="0" fontId="2" fillId="0" borderId="2" xfId="0" applyFont="1" applyBorder="1"/>
    <xf numFmtId="167" fontId="13" fillId="0" borderId="2" xfId="0" applyNumberFormat="1" applyFont="1" applyBorder="1"/>
    <xf numFmtId="167" fontId="3" fillId="0" borderId="2" xfId="0" applyNumberFormat="1" applyFont="1" applyBorder="1"/>
    <xf numFmtId="167" fontId="3" fillId="0" borderId="3" xfId="0" applyNumberFormat="1" applyFont="1" applyBorder="1"/>
    <xf numFmtId="168" fontId="2" fillId="0" borderId="2" xfId="0" applyNumberFormat="1" applyFont="1" applyBorder="1"/>
    <xf numFmtId="167" fontId="14" fillId="0" borderId="2" xfId="0" applyNumberFormat="1" applyFont="1" applyBorder="1"/>
    <xf numFmtId="0" fontId="11" fillId="0" borderId="2" xfId="0" applyFont="1" applyBorder="1" applyAlignment="1">
      <alignment wrapText="1"/>
    </xf>
    <xf numFmtId="0" fontId="8" fillId="0" borderId="2" xfId="0" applyFont="1" applyBorder="1"/>
    <xf numFmtId="0" fontId="5" fillId="0" borderId="2" xfId="0" applyFont="1" applyBorder="1"/>
    <xf numFmtId="0" fontId="15" fillId="0" borderId="0" xfId="0" applyFont="1"/>
    <xf numFmtId="0" fontId="16" fillId="0" borderId="0" xfId="0" applyFont="1"/>
    <xf numFmtId="0" fontId="17" fillId="0" borderId="0" xfId="0" applyFont="1"/>
    <xf numFmtId="0" fontId="1" fillId="0" borderId="0" xfId="0" applyFont="1"/>
    <xf numFmtId="0" fontId="18" fillId="0" borderId="0" xfId="0" applyFont="1"/>
    <xf numFmtId="0" fontId="19" fillId="0" borderId="0" xfId="0" applyFont="1" applyAlignment="1">
      <alignment vertical="top"/>
    </xf>
    <xf numFmtId="0" fontId="19" fillId="0" borderId="0" xfId="0" applyFont="1"/>
    <xf numFmtId="0" fontId="20" fillId="0" borderId="1" xfId="0" applyFont="1" applyBorder="1" applyAlignment="1">
      <alignment horizontal="left" wrapText="1"/>
    </xf>
    <xf numFmtId="0" fontId="20" fillId="0" borderId="1" xfId="0" applyFont="1" applyBorder="1" applyAlignment="1">
      <alignment horizontal="center" wrapText="1"/>
    </xf>
    <xf numFmtId="0" fontId="21" fillId="0" borderId="2" xfId="0" applyFont="1" applyBorder="1" applyAlignment="1">
      <alignment vertical="top" wrapText="1"/>
    </xf>
    <xf numFmtId="0" fontId="19" fillId="0" borderId="2" xfId="0" applyFont="1" applyBorder="1" applyAlignment="1">
      <alignment vertical="top" wrapText="1"/>
    </xf>
    <xf numFmtId="0" fontId="21" fillId="0" borderId="2" xfId="0" applyFont="1" applyBorder="1" applyAlignment="1">
      <alignment horizontal="left" wrapText="1"/>
    </xf>
    <xf numFmtId="0" fontId="19" fillId="0" borderId="2" xfId="0" applyFont="1" applyBorder="1" applyAlignment="1">
      <alignment horizontal="left" wrapText="1"/>
    </xf>
    <xf numFmtId="0" fontId="20" fillId="0" borderId="1" xfId="0" applyFont="1" applyBorder="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16" fillId="0" borderId="2" xfId="0" applyFont="1" applyBorder="1"/>
    <xf numFmtId="164" fontId="27" fillId="0" borderId="2" xfId="0" applyNumberFormat="1" applyFont="1" applyBorder="1" applyAlignment="1">
      <alignment horizontal="right"/>
    </xf>
    <xf numFmtId="0" fontId="19" fillId="0" borderId="0" xfId="0" applyFont="1" applyAlignment="1">
      <alignment vertical="top" wrapText="1"/>
    </xf>
    <xf numFmtId="165" fontId="27" fillId="0" borderId="2" xfId="0" applyNumberFormat="1" applyFont="1" applyBorder="1" applyAlignment="1">
      <alignment horizontal="right"/>
    </xf>
    <xf numFmtId="164" fontId="16" fillId="0" borderId="2" xfId="0" applyNumberFormat="1" applyFont="1" applyBorder="1" applyAlignment="1">
      <alignment horizontal="right"/>
    </xf>
    <xf numFmtId="165" fontId="22" fillId="0" borderId="2" xfId="0" applyNumberFormat="1" applyFont="1" applyBorder="1" applyAlignment="1">
      <alignment horizontal="right"/>
    </xf>
    <xf numFmtId="0" fontId="28" fillId="0" borderId="3" xfId="0" applyFont="1" applyBorder="1"/>
    <xf numFmtId="164" fontId="28" fillId="0" borderId="3" xfId="0" applyNumberFormat="1" applyFont="1" applyBorder="1" applyAlignment="1">
      <alignment horizontal="right"/>
    </xf>
    <xf numFmtId="9" fontId="27" fillId="0" borderId="2" xfId="0" applyNumberFormat="1" applyFont="1" applyBorder="1" applyAlignment="1">
      <alignment horizontal="right"/>
    </xf>
    <xf numFmtId="165" fontId="16" fillId="0" borderId="2" xfId="0" applyNumberFormat="1" applyFont="1" applyBorder="1" applyAlignment="1">
      <alignment horizontal="right"/>
    </xf>
    <xf numFmtId="10" fontId="29" fillId="0" borderId="2" xfId="0" applyNumberFormat="1" applyFont="1" applyBorder="1" applyAlignment="1">
      <alignment horizontal="right"/>
    </xf>
    <xf numFmtId="165" fontId="29" fillId="0" borderId="2" xfId="0" applyNumberFormat="1" applyFont="1" applyBorder="1" applyAlignment="1">
      <alignment horizontal="right"/>
    </xf>
    <xf numFmtId="10" fontId="28" fillId="0" borderId="3" xfId="0" applyNumberFormat="1" applyFont="1" applyBorder="1" applyAlignment="1">
      <alignment horizontal="right"/>
    </xf>
    <xf numFmtId="10" fontId="16" fillId="0" borderId="2" xfId="0" applyNumberFormat="1" applyFont="1" applyBorder="1" applyAlignment="1">
      <alignment horizontal="right"/>
    </xf>
    <xf numFmtId="164" fontId="29" fillId="0" borderId="2" xfId="0" applyNumberFormat="1" applyFont="1" applyBorder="1" applyAlignment="1">
      <alignment horizontal="right"/>
    </xf>
    <xf numFmtId="10" fontId="27" fillId="0" borderId="2" xfId="0" applyNumberFormat="1" applyFont="1" applyBorder="1" applyAlignment="1">
      <alignment horizontal="right"/>
    </xf>
    <xf numFmtId="0" fontId="28" fillId="0" borderId="2" xfId="0" applyFont="1" applyBorder="1"/>
    <xf numFmtId="9" fontId="27" fillId="0" borderId="2" xfId="0" applyNumberFormat="1" applyFont="1" applyBorder="1"/>
    <xf numFmtId="166" fontId="27" fillId="0" borderId="2" xfId="0" applyNumberFormat="1" applyFont="1" applyBorder="1"/>
    <xf numFmtId="10" fontId="16" fillId="0" borderId="2" xfId="0" applyNumberFormat="1" applyFont="1" applyBorder="1"/>
    <xf numFmtId="0" fontId="28" fillId="0" borderId="0" xfId="0" applyFont="1"/>
    <xf numFmtId="9" fontId="28" fillId="0" borderId="2" xfId="0" applyNumberFormat="1" applyFont="1" applyBorder="1"/>
    <xf numFmtId="10" fontId="28" fillId="0" borderId="3" xfId="0" applyNumberFormat="1" applyFont="1" applyBorder="1"/>
    <xf numFmtId="1" fontId="19" fillId="0" borderId="2" xfId="0" applyNumberFormat="1" applyFont="1" applyBorder="1"/>
    <xf numFmtId="167" fontId="27" fillId="0" borderId="2" xfId="0" applyNumberFormat="1" applyFont="1" applyBorder="1"/>
    <xf numFmtId="169" fontId="16" fillId="0" borderId="2" xfId="0" applyNumberFormat="1" applyFont="1" applyBorder="1"/>
    <xf numFmtId="167" fontId="28" fillId="0" borderId="3" xfId="0" applyNumberFormat="1" applyFont="1" applyBorder="1"/>
    <xf numFmtId="169" fontId="28" fillId="0" borderId="3" xfId="0" applyNumberFormat="1" applyFont="1" applyBorder="1"/>
    <xf numFmtId="167" fontId="16" fillId="0" borderId="2" xfId="0" applyNumberFormat="1" applyFont="1" applyBorder="1" applyAlignment="1">
      <alignment horizontal="right"/>
    </xf>
    <xf numFmtId="167" fontId="28" fillId="0" borderId="3" xfId="0" applyNumberFormat="1" applyFont="1" applyBorder="1" applyAlignment="1">
      <alignment horizontal="right"/>
    </xf>
    <xf numFmtId="169" fontId="16" fillId="0" borderId="2" xfId="0" applyNumberFormat="1" applyFont="1" applyBorder="1" applyAlignment="1">
      <alignment horizontal="right"/>
    </xf>
    <xf numFmtId="170" fontId="28" fillId="0" borderId="3" xfId="0" applyNumberFormat="1" applyFont="1" applyBorder="1" applyAlignment="1">
      <alignment horizontal="right"/>
    </xf>
    <xf numFmtId="170" fontId="27" fillId="0" borderId="2" xfId="0" applyNumberFormat="1" applyFont="1" applyBorder="1" applyAlignment="1">
      <alignment horizontal="right"/>
    </xf>
    <xf numFmtId="10" fontId="29" fillId="0" borderId="2" xfId="0" applyNumberFormat="1" applyFont="1" applyBorder="1"/>
    <xf numFmtId="171" fontId="28" fillId="0" borderId="3" xfId="0" applyNumberFormat="1" applyFont="1" applyBorder="1"/>
    <xf numFmtId="167" fontId="16" fillId="0" borderId="2" xfId="0" applyNumberFormat="1" applyFont="1" applyBorder="1"/>
    <xf numFmtId="167" fontId="29" fillId="0" borderId="2" xfId="0" applyNumberFormat="1" applyFont="1" applyBorder="1" applyAlignment="1">
      <alignment horizontal="right"/>
    </xf>
    <xf numFmtId="164" fontId="27" fillId="0" borderId="2" xfId="0" applyNumberFormat="1" applyFont="1" applyBorder="1"/>
    <xf numFmtId="170" fontId="16" fillId="0" borderId="2" xfId="0" applyNumberFormat="1" applyFont="1" applyBorder="1"/>
    <xf numFmtId="170" fontId="28" fillId="0" borderId="3" xfId="0" applyNumberFormat="1" applyFont="1" applyBorder="1"/>
    <xf numFmtId="0" fontId="19" fillId="0" borderId="2" xfId="0" applyFont="1" applyBorder="1"/>
    <xf numFmtId="10" fontId="27" fillId="0" borderId="2" xfId="0" applyNumberFormat="1" applyFont="1" applyBorder="1"/>
    <xf numFmtId="10" fontId="16" fillId="0" borderId="3" xfId="0" applyNumberFormat="1" applyFont="1" applyBorder="1"/>
    <xf numFmtId="0" fontId="21" fillId="0" borderId="3" xfId="0" applyFont="1" applyBorder="1" applyAlignment="1">
      <alignment vertical="top" wrapText="1"/>
    </xf>
    <xf numFmtId="0" fontId="19" fillId="0" borderId="3" xfId="0" applyFont="1" applyBorder="1" applyAlignment="1">
      <alignment vertical="top" wrapText="1"/>
    </xf>
    <xf numFmtId="0" fontId="21" fillId="0" borderId="2" xfId="0" applyFont="1" applyBorder="1"/>
    <xf numFmtId="171" fontId="29" fillId="0" borderId="2" xfId="0" applyNumberFormat="1" applyFont="1" applyBorder="1"/>
    <xf numFmtId="10" fontId="28" fillId="0" borderId="2" xfId="0" applyNumberFormat="1" applyFont="1" applyBorder="1"/>
    <xf numFmtId="0" fontId="30" fillId="0" borderId="2" xfId="0" applyFont="1" applyBorder="1" applyAlignment="1">
      <alignment vertical="top" wrapText="1"/>
    </xf>
    <xf numFmtId="0" fontId="31" fillId="0" borderId="2" xfId="0" applyFont="1" applyBorder="1" applyAlignment="1">
      <alignment vertical="top" wrapText="1"/>
    </xf>
    <xf numFmtId="0" fontId="20" fillId="0" borderId="0" xfId="0" applyFont="1" applyAlignment="1">
      <alignment horizontal="left" wrapText="1"/>
    </xf>
    <xf numFmtId="0" fontId="20" fillId="0" borderId="0" xfId="0" applyFont="1" applyAlignment="1">
      <alignment horizontal="center" wrapText="1"/>
    </xf>
    <xf numFmtId="0" fontId="31" fillId="0" borderId="0" xfId="0" applyFont="1" applyAlignment="1">
      <alignment vertical="top" wrapText="1"/>
    </xf>
    <xf numFmtId="0" fontId="30" fillId="0" borderId="0" xfId="0" applyFont="1" applyAlignment="1">
      <alignment vertical="top" wrapText="1"/>
    </xf>
    <xf numFmtId="0" fontId="30"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tabSelected="1" zoomScaleNormal="100" workbookViewId="0"/>
  </sheetViews>
  <sheetFormatPr defaultColWidth="8.6328125" defaultRowHeight="14.5" x14ac:dyDescent="0.35"/>
  <cols>
    <col min="1" max="1" width="30" customWidth="1"/>
    <col min="2" max="2" width="44" customWidth="1"/>
    <col min="3" max="3" width="50" customWidth="1"/>
    <col min="4" max="7" width="14" customWidth="1"/>
  </cols>
  <sheetData>
    <row r="1" spans="1:7" ht="15" customHeight="1" x14ac:dyDescent="0.35">
      <c r="A1" s="33" t="s">
        <v>774</v>
      </c>
      <c r="B1" s="34"/>
      <c r="C1" s="34"/>
      <c r="D1" s="1"/>
      <c r="E1" s="1"/>
      <c r="F1" s="1"/>
      <c r="G1" s="1"/>
    </row>
    <row r="2" spans="1:7" ht="27.75" customHeight="1" x14ac:dyDescent="0.6">
      <c r="A2" s="35" t="s">
        <v>0</v>
      </c>
      <c r="B2" s="34"/>
      <c r="C2" s="34"/>
      <c r="D2" s="1"/>
      <c r="E2" s="1"/>
      <c r="F2" s="1"/>
      <c r="G2" s="1"/>
    </row>
    <row r="3" spans="1:7" ht="14.25" customHeight="1" x14ac:dyDescent="0.35">
      <c r="A3" s="34" t="s">
        <v>1</v>
      </c>
      <c r="B3" s="34"/>
      <c r="C3" s="34"/>
      <c r="D3" s="1"/>
      <c r="E3" s="1"/>
      <c r="F3" s="1"/>
      <c r="G3" s="1"/>
    </row>
    <row r="4" spans="1:7" ht="14.25" customHeight="1" x14ac:dyDescent="0.35">
      <c r="A4" s="34"/>
      <c r="B4" s="34"/>
      <c r="C4" s="34"/>
      <c r="D4" s="1"/>
      <c r="E4" s="1"/>
      <c r="F4" s="1"/>
      <c r="G4" s="1"/>
    </row>
    <row r="5" spans="1:7" ht="14.25" customHeight="1" x14ac:dyDescent="0.35">
      <c r="A5" s="36" t="s">
        <v>2</v>
      </c>
      <c r="B5" s="34"/>
      <c r="C5" s="34"/>
      <c r="D5" s="1"/>
      <c r="E5" s="1"/>
      <c r="F5" s="1"/>
      <c r="G5" s="1"/>
    </row>
    <row r="6" spans="1:7" ht="14.25" customHeight="1" x14ac:dyDescent="0.35">
      <c r="A6" s="34"/>
      <c r="B6" s="34"/>
      <c r="C6" s="34"/>
      <c r="D6" s="1"/>
      <c r="E6" s="1"/>
      <c r="F6" s="1"/>
      <c r="G6" s="1"/>
    </row>
    <row r="7" spans="1:7" ht="14.25" customHeight="1" x14ac:dyDescent="0.35">
      <c r="A7" s="37" t="s">
        <v>3</v>
      </c>
      <c r="B7" s="34"/>
      <c r="C7" s="34"/>
      <c r="D7" s="1"/>
      <c r="E7" s="1"/>
      <c r="F7" s="1"/>
      <c r="G7" s="1"/>
    </row>
    <row r="8" spans="1:7" ht="14.25" customHeight="1" x14ac:dyDescent="0.35">
      <c r="A8" s="38" t="s">
        <v>4</v>
      </c>
      <c r="B8" s="34"/>
      <c r="C8" s="34"/>
      <c r="D8" s="1"/>
      <c r="E8" s="1"/>
      <c r="F8" s="1"/>
      <c r="G8" s="1"/>
    </row>
    <row r="9" spans="1:7" ht="14.25" customHeight="1" x14ac:dyDescent="0.35">
      <c r="A9" s="39" t="s">
        <v>5</v>
      </c>
      <c r="B9" s="34"/>
      <c r="C9" s="34"/>
      <c r="D9" s="1"/>
      <c r="E9" s="1"/>
      <c r="F9" s="1"/>
      <c r="G9" s="1"/>
    </row>
    <row r="10" spans="1:7" ht="14.25" customHeight="1" x14ac:dyDescent="0.35">
      <c r="A10" s="39" t="s">
        <v>6</v>
      </c>
      <c r="B10" s="34"/>
      <c r="C10" s="34"/>
      <c r="D10" s="1"/>
      <c r="E10" s="1"/>
      <c r="F10" s="1"/>
      <c r="G10" s="1"/>
    </row>
    <row r="11" spans="1:7" ht="14.25" customHeight="1" x14ac:dyDescent="0.35">
      <c r="A11" s="34"/>
      <c r="B11" s="34"/>
      <c r="C11" s="34"/>
      <c r="D11" s="1"/>
      <c r="E11" s="1"/>
      <c r="F11" s="1"/>
      <c r="G11" s="1"/>
    </row>
    <row r="12" spans="1:7" ht="14.25" customHeight="1" x14ac:dyDescent="0.35">
      <c r="A12" s="37" t="s">
        <v>7</v>
      </c>
      <c r="B12" s="34"/>
      <c r="C12" s="34"/>
      <c r="D12" s="1"/>
      <c r="E12" s="1"/>
      <c r="F12" s="1"/>
      <c r="G12" s="1"/>
    </row>
    <row r="13" spans="1:7" ht="14.25" customHeight="1" x14ac:dyDescent="0.35">
      <c r="A13" s="40" t="s">
        <v>8</v>
      </c>
      <c r="B13" s="41" t="s">
        <v>9</v>
      </c>
      <c r="C13" s="41" t="s">
        <v>10</v>
      </c>
      <c r="D13" s="1"/>
      <c r="E13" s="1"/>
      <c r="F13" s="1"/>
      <c r="G13" s="1"/>
    </row>
    <row r="14" spans="1:7" ht="14.25" customHeight="1" x14ac:dyDescent="0.35">
      <c r="A14" s="42" t="s">
        <v>11</v>
      </c>
      <c r="B14" s="43" t="s">
        <v>12</v>
      </c>
      <c r="C14" s="43" t="s">
        <v>13</v>
      </c>
      <c r="D14" s="1"/>
      <c r="E14" s="1"/>
      <c r="F14" s="1"/>
      <c r="G14" s="1"/>
    </row>
    <row r="15" spans="1:7" ht="22.5" customHeight="1" x14ac:dyDescent="0.35">
      <c r="A15" s="42" t="s">
        <v>14</v>
      </c>
      <c r="B15" s="43" t="s">
        <v>15</v>
      </c>
      <c r="C15" s="43" t="s">
        <v>16</v>
      </c>
      <c r="D15" s="1"/>
      <c r="E15" s="1"/>
      <c r="F15" s="1"/>
      <c r="G15" s="1"/>
    </row>
    <row r="16" spans="1:7" ht="14.25" customHeight="1" x14ac:dyDescent="0.35">
      <c r="A16" s="42" t="s">
        <v>17</v>
      </c>
      <c r="B16" s="43" t="s">
        <v>18</v>
      </c>
      <c r="C16" s="43" t="s">
        <v>767</v>
      </c>
      <c r="D16" s="1"/>
      <c r="E16" s="1"/>
      <c r="F16" s="1"/>
      <c r="G16" s="1"/>
    </row>
    <row r="17" spans="1:7" ht="14.25" customHeight="1" x14ac:dyDescent="0.35">
      <c r="A17" s="42" t="s">
        <v>19</v>
      </c>
      <c r="B17" s="43" t="s">
        <v>20</v>
      </c>
      <c r="C17" s="43" t="s">
        <v>21</v>
      </c>
      <c r="D17" s="1"/>
      <c r="E17" s="1"/>
      <c r="F17" s="1"/>
      <c r="G17" s="1"/>
    </row>
    <row r="18" spans="1:7" ht="14.25" customHeight="1" x14ac:dyDescent="0.35">
      <c r="A18" s="42" t="s">
        <v>22</v>
      </c>
      <c r="B18" s="43" t="s">
        <v>23</v>
      </c>
      <c r="C18" s="43" t="s">
        <v>24</v>
      </c>
      <c r="D18" s="1"/>
      <c r="E18" s="1"/>
      <c r="F18" s="1"/>
      <c r="G18" s="1"/>
    </row>
    <row r="19" spans="1:7" ht="14.25" customHeight="1" x14ac:dyDescent="0.35">
      <c r="A19" s="42" t="s">
        <v>25</v>
      </c>
      <c r="B19" s="43" t="s">
        <v>26</v>
      </c>
      <c r="C19" s="43" t="s">
        <v>27</v>
      </c>
      <c r="D19" s="1"/>
      <c r="E19" s="1"/>
      <c r="F19" s="1"/>
      <c r="G19" s="1"/>
    </row>
    <row r="20" spans="1:7" ht="14.25" customHeight="1" x14ac:dyDescent="0.35">
      <c r="A20" s="42" t="s">
        <v>28</v>
      </c>
      <c r="B20" s="43" t="s">
        <v>29</v>
      </c>
      <c r="C20" s="43" t="s">
        <v>30</v>
      </c>
      <c r="D20" s="1"/>
      <c r="E20" s="1"/>
      <c r="F20" s="1"/>
      <c r="G20" s="1"/>
    </row>
    <row r="21" spans="1:7" ht="14.25" customHeight="1" x14ac:dyDescent="0.35">
      <c r="A21" s="42" t="s">
        <v>31</v>
      </c>
      <c r="B21" s="43" t="s">
        <v>32</v>
      </c>
      <c r="C21" s="43" t="s">
        <v>33</v>
      </c>
      <c r="D21" s="1"/>
      <c r="E21" s="1"/>
      <c r="F21" s="1"/>
      <c r="G21" s="1"/>
    </row>
    <row r="22" spans="1:7" ht="14.25" customHeight="1" x14ac:dyDescent="0.35">
      <c r="A22" s="42" t="s">
        <v>34</v>
      </c>
      <c r="B22" s="43" t="s">
        <v>35</v>
      </c>
      <c r="C22" s="43" t="s">
        <v>36</v>
      </c>
      <c r="D22" s="1"/>
      <c r="E22" s="1"/>
      <c r="F22" s="1"/>
      <c r="G22" s="1"/>
    </row>
    <row r="23" spans="1:7" ht="14.25" customHeight="1" x14ac:dyDescent="0.35">
      <c r="A23" s="42" t="s">
        <v>37</v>
      </c>
      <c r="B23" s="43" t="s">
        <v>38</v>
      </c>
      <c r="C23" s="43" t="s">
        <v>39</v>
      </c>
      <c r="D23" s="1"/>
      <c r="E23" s="1"/>
      <c r="F23" s="1"/>
      <c r="G23" s="1"/>
    </row>
    <row r="24" spans="1:7" ht="14.25" customHeight="1" x14ac:dyDescent="0.35">
      <c r="A24" s="42" t="s">
        <v>40</v>
      </c>
      <c r="B24" s="43" t="s">
        <v>41</v>
      </c>
      <c r="C24" s="43" t="s">
        <v>42</v>
      </c>
      <c r="D24" s="1"/>
      <c r="E24" s="1"/>
      <c r="F24" s="1"/>
      <c r="G24" s="1"/>
    </row>
    <row r="25" spans="1:7" ht="14.25" customHeight="1" x14ac:dyDescent="0.35">
      <c r="A25" s="42" t="s">
        <v>43</v>
      </c>
      <c r="B25" s="43" t="s">
        <v>44</v>
      </c>
      <c r="C25" s="43" t="s">
        <v>45</v>
      </c>
      <c r="D25" s="1"/>
      <c r="E25" s="1"/>
      <c r="F25" s="1"/>
      <c r="G25" s="1"/>
    </row>
    <row r="26" spans="1:7" ht="14.25" customHeight="1" x14ac:dyDescent="0.35">
      <c r="A26" s="42" t="s">
        <v>46</v>
      </c>
      <c r="B26" s="43" t="s">
        <v>47</v>
      </c>
      <c r="C26" s="43" t="s">
        <v>48</v>
      </c>
      <c r="D26" s="1"/>
      <c r="E26" s="1"/>
      <c r="F26" s="1"/>
      <c r="G26" s="1"/>
    </row>
    <row r="27" spans="1:7" ht="14.25" customHeight="1" x14ac:dyDescent="0.35">
      <c r="A27" s="44" t="s">
        <v>49</v>
      </c>
      <c r="B27" s="45" t="s">
        <v>50</v>
      </c>
      <c r="C27" s="43" t="s">
        <v>51</v>
      </c>
      <c r="D27" s="1"/>
      <c r="E27" s="1"/>
      <c r="F27" s="1"/>
      <c r="G27" s="1"/>
    </row>
    <row r="28" spans="1:7" ht="14.25" customHeight="1" x14ac:dyDescent="0.35">
      <c r="A28" s="42" t="s">
        <v>52</v>
      </c>
      <c r="B28" s="43" t="s">
        <v>53</v>
      </c>
      <c r="C28" s="43" t="s">
        <v>54</v>
      </c>
      <c r="D28" s="1"/>
      <c r="E28" s="1"/>
      <c r="F28" s="1"/>
      <c r="G28" s="1"/>
    </row>
    <row r="29" spans="1:7" ht="14.25" customHeight="1" x14ac:dyDescent="0.35">
      <c r="A29" s="34"/>
      <c r="B29" s="39"/>
      <c r="C29" s="34"/>
      <c r="D29" s="1"/>
      <c r="E29" s="1"/>
      <c r="F29" s="1"/>
      <c r="G29" s="1"/>
    </row>
    <row r="30" spans="1:7" ht="14.25" customHeight="1" x14ac:dyDescent="0.35">
      <c r="A30" s="37" t="s">
        <v>55</v>
      </c>
      <c r="B30" s="39"/>
      <c r="C30" s="34"/>
      <c r="D30" s="1"/>
      <c r="E30" s="1"/>
      <c r="F30" s="1"/>
      <c r="G30" s="1"/>
    </row>
    <row r="31" spans="1:7" ht="14.25" customHeight="1" x14ac:dyDescent="0.35">
      <c r="A31" s="46" t="s">
        <v>56</v>
      </c>
      <c r="B31" s="46" t="s">
        <v>57</v>
      </c>
      <c r="C31" s="34"/>
      <c r="D31" s="1"/>
      <c r="E31" s="1"/>
      <c r="F31" s="1"/>
      <c r="G31" s="1"/>
    </row>
    <row r="32" spans="1:7" ht="14.25" customHeight="1" x14ac:dyDescent="0.35">
      <c r="A32" s="47" t="s">
        <v>58</v>
      </c>
      <c r="B32" s="36" t="s">
        <v>59</v>
      </c>
      <c r="C32" s="48"/>
    </row>
    <row r="33" spans="1:7" ht="14.25" customHeight="1" x14ac:dyDescent="0.35">
      <c r="A33" s="49" t="s">
        <v>60</v>
      </c>
      <c r="B33" s="36" t="s">
        <v>61</v>
      </c>
      <c r="C33" s="48"/>
    </row>
    <row r="34" spans="1:7" ht="14.25" customHeight="1" x14ac:dyDescent="0.35">
      <c r="A34" s="50" t="s">
        <v>62</v>
      </c>
      <c r="B34" s="36" t="s">
        <v>63</v>
      </c>
      <c r="C34" s="48"/>
    </row>
    <row r="35" spans="1:7" x14ac:dyDescent="0.35">
      <c r="A35" s="48"/>
      <c r="B35" s="48"/>
      <c r="C35" s="48"/>
    </row>
    <row r="36" spans="1:7" ht="14.25" customHeight="1" x14ac:dyDescent="0.35">
      <c r="A36" s="37" t="s">
        <v>64</v>
      </c>
      <c r="B36" s="34"/>
      <c r="C36" s="34"/>
      <c r="D36" s="1"/>
      <c r="E36" s="1"/>
      <c r="F36" s="1"/>
      <c r="G36" s="1"/>
    </row>
    <row r="37" spans="1:7" ht="14.25" customHeight="1" x14ac:dyDescent="0.35">
      <c r="A37" s="38" t="s">
        <v>65</v>
      </c>
      <c r="B37" s="34"/>
      <c r="C37" s="34"/>
      <c r="D37" s="1"/>
      <c r="E37" s="1"/>
      <c r="F37" s="1"/>
      <c r="G37" s="1"/>
    </row>
    <row r="38" spans="1:7" ht="14.25" customHeight="1" x14ac:dyDescent="0.35">
      <c r="A38" s="39" t="s">
        <v>66</v>
      </c>
      <c r="B38" s="34"/>
      <c r="C38" s="34"/>
      <c r="D38" s="1"/>
      <c r="E38" s="1"/>
      <c r="F38" s="1"/>
      <c r="G38" s="1"/>
    </row>
    <row r="39" spans="1:7" ht="14.25" customHeight="1" x14ac:dyDescent="0.35">
      <c r="A39" s="39" t="s">
        <v>67</v>
      </c>
      <c r="B39" s="34"/>
      <c r="C39" s="34"/>
      <c r="D39" s="1"/>
      <c r="E39" s="1"/>
      <c r="F39" s="1"/>
      <c r="G39" s="1"/>
    </row>
    <row r="40" spans="1:7" ht="14.25" customHeight="1" x14ac:dyDescent="0.35">
      <c r="A40" s="39" t="s">
        <v>68</v>
      </c>
      <c r="B40" s="34"/>
      <c r="C40" s="34"/>
      <c r="D40" s="1"/>
      <c r="E40" s="1"/>
      <c r="F40" s="1"/>
      <c r="G40" s="1"/>
    </row>
    <row r="41" spans="1:7" ht="14.25" customHeight="1" x14ac:dyDescent="0.35">
      <c r="A41" s="39" t="s">
        <v>69</v>
      </c>
      <c r="B41" s="34"/>
      <c r="C41" s="34"/>
      <c r="D41" s="1"/>
      <c r="E41" s="1"/>
      <c r="F41" s="1"/>
      <c r="G41" s="1"/>
    </row>
    <row r="42" spans="1:7" ht="14.25" customHeight="1" x14ac:dyDescent="0.35">
      <c r="A42" s="39" t="s">
        <v>70</v>
      </c>
      <c r="B42" s="34"/>
      <c r="C42" s="34"/>
      <c r="D42" s="1"/>
      <c r="E42" s="1"/>
      <c r="F42" s="1"/>
      <c r="G42" s="1"/>
    </row>
    <row r="43" spans="1:7" ht="14.25" customHeight="1" x14ac:dyDescent="0.35">
      <c r="A43" s="1"/>
      <c r="B43" s="1"/>
      <c r="C43" s="1"/>
      <c r="D43" s="1"/>
      <c r="E43" s="1"/>
      <c r="F43" s="1"/>
      <c r="G43" s="1"/>
    </row>
    <row r="44" spans="1:7" ht="14.25" customHeight="1" x14ac:dyDescent="0.35">
      <c r="A44" s="2"/>
      <c r="B44" s="1"/>
      <c r="C44" s="1"/>
      <c r="D44" s="1"/>
      <c r="E44" s="1"/>
      <c r="F44" s="1"/>
      <c r="G44" s="1"/>
    </row>
    <row r="45" spans="1:7" ht="14.25" customHeight="1" x14ac:dyDescent="0.35">
      <c r="A45" s="3"/>
      <c r="B45" s="1"/>
      <c r="C45" s="1"/>
      <c r="D45" s="1"/>
      <c r="E45" s="1"/>
      <c r="F45" s="1"/>
      <c r="G45" s="1"/>
    </row>
    <row r="46" spans="1:7" ht="14.25" customHeight="1" x14ac:dyDescent="0.35">
      <c r="A46" s="4"/>
      <c r="B46" s="1"/>
      <c r="C46" s="1"/>
      <c r="D46" s="1"/>
      <c r="E46" s="1"/>
      <c r="F46" s="1"/>
      <c r="G46" s="1"/>
    </row>
    <row r="47" spans="1:7" ht="14.25" customHeight="1" x14ac:dyDescent="0.35">
      <c r="A47" s="4"/>
      <c r="B47" s="1"/>
      <c r="C47" s="1"/>
      <c r="D47" s="1"/>
      <c r="E47" s="1"/>
      <c r="F47" s="1"/>
      <c r="G47" s="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
  <sheetViews>
    <sheetView zoomScaleNormal="100" workbookViewId="0">
      <selection activeCell="B4" sqref="B4"/>
    </sheetView>
  </sheetViews>
  <sheetFormatPr defaultColWidth="8.6328125" defaultRowHeight="14.5" x14ac:dyDescent="0.35"/>
  <cols>
    <col min="1" max="1" width="34" customWidth="1"/>
    <col min="2" max="2" width="38" customWidth="1"/>
    <col min="3" max="3" width="34" customWidth="1"/>
    <col min="4" max="4" width="24" customWidth="1"/>
    <col min="5" max="5" width="52" customWidth="1"/>
  </cols>
  <sheetData>
    <row r="1" spans="1:5" ht="18" customHeight="1" x14ac:dyDescent="0.4">
      <c r="A1" s="8" t="s">
        <v>71</v>
      </c>
      <c r="B1" s="1"/>
      <c r="C1" s="1"/>
      <c r="D1" s="1"/>
      <c r="E1" s="1"/>
    </row>
    <row r="2" spans="1:5" ht="14.25" customHeight="1" x14ac:dyDescent="0.35">
      <c r="A2" s="7" t="s">
        <v>72</v>
      </c>
      <c r="B2" s="1"/>
      <c r="C2" s="1"/>
      <c r="D2" s="1"/>
      <c r="E2" s="1"/>
    </row>
    <row r="3" spans="1:5" ht="14.25" customHeight="1" x14ac:dyDescent="0.35">
      <c r="A3" s="1"/>
      <c r="B3" s="1"/>
      <c r="C3" s="1"/>
      <c r="D3" s="1"/>
      <c r="E3" s="1"/>
    </row>
    <row r="4" spans="1:5" ht="14.25" customHeight="1" x14ac:dyDescent="0.35">
      <c r="A4" s="3"/>
      <c r="B4" s="1"/>
      <c r="C4" s="1"/>
      <c r="D4" s="1"/>
      <c r="E4" s="1"/>
    </row>
    <row r="5" spans="1:5" ht="14.25" customHeight="1" x14ac:dyDescent="0.35">
      <c r="A5" s="4"/>
      <c r="B5" s="1"/>
      <c r="C5" s="1"/>
      <c r="D5" s="1"/>
      <c r="E5" s="1"/>
    </row>
    <row r="6" spans="1:5" ht="14.25" customHeight="1" x14ac:dyDescent="0.35">
      <c r="A6" s="4"/>
      <c r="B6" s="1"/>
      <c r="C6" s="1"/>
      <c r="D6" s="1"/>
      <c r="E6" s="1"/>
    </row>
    <row r="7" spans="1:5" ht="14.25" customHeight="1" x14ac:dyDescent="0.35">
      <c r="A7" s="1"/>
      <c r="B7" s="1"/>
      <c r="C7" s="1"/>
      <c r="D7" s="1"/>
      <c r="E7" s="1"/>
    </row>
    <row r="8" spans="1:5" ht="14.25" customHeight="1" x14ac:dyDescent="0.35">
      <c r="A8" s="2" t="s">
        <v>73</v>
      </c>
      <c r="B8" s="1"/>
      <c r="C8" s="1"/>
      <c r="D8" s="1"/>
      <c r="E8" s="1"/>
    </row>
    <row r="9" spans="1:5" ht="14.25" customHeight="1" x14ac:dyDescent="0.35">
      <c r="A9" s="5" t="s">
        <v>74</v>
      </c>
      <c r="B9" s="6" t="s">
        <v>75</v>
      </c>
      <c r="C9" s="6" t="s">
        <v>76</v>
      </c>
      <c r="D9" s="6" t="s">
        <v>77</v>
      </c>
      <c r="E9" s="6" t="s">
        <v>78</v>
      </c>
    </row>
    <row r="10" spans="1:5" ht="21.75" customHeight="1" x14ac:dyDescent="0.35">
      <c r="A10" s="9" t="s">
        <v>79</v>
      </c>
      <c r="B10" s="10" t="s">
        <v>80</v>
      </c>
      <c r="C10" s="10" t="s">
        <v>81</v>
      </c>
      <c r="D10" s="10" t="s">
        <v>82</v>
      </c>
      <c r="E10" s="10" t="s">
        <v>83</v>
      </c>
    </row>
    <row r="11" spans="1:5" ht="14.25" customHeight="1" x14ac:dyDescent="0.35">
      <c r="A11" s="9" t="s">
        <v>84</v>
      </c>
      <c r="B11" s="10" t="s">
        <v>85</v>
      </c>
      <c r="C11" s="10" t="s">
        <v>86</v>
      </c>
      <c r="D11" s="10" t="s">
        <v>87</v>
      </c>
      <c r="E11" s="10"/>
    </row>
    <row r="12" spans="1:5" ht="14.25" customHeight="1" x14ac:dyDescent="0.35">
      <c r="A12" s="9" t="s">
        <v>88</v>
      </c>
      <c r="B12" s="10" t="s">
        <v>89</v>
      </c>
      <c r="C12" s="10" t="s">
        <v>90</v>
      </c>
      <c r="D12" s="10" t="s">
        <v>91</v>
      </c>
      <c r="E12" s="10"/>
    </row>
    <row r="13" spans="1:5" ht="14.25" customHeight="1" x14ac:dyDescent="0.35">
      <c r="A13" s="9" t="s">
        <v>92</v>
      </c>
      <c r="B13" s="10" t="s">
        <v>93</v>
      </c>
      <c r="C13" s="10" t="s">
        <v>94</v>
      </c>
      <c r="D13" s="10" t="s">
        <v>95</v>
      </c>
      <c r="E13" s="10"/>
    </row>
    <row r="14" spans="1:5" ht="14.25" customHeight="1" x14ac:dyDescent="0.35">
      <c r="A14" s="9" t="s">
        <v>96</v>
      </c>
      <c r="B14" s="10" t="s">
        <v>97</v>
      </c>
      <c r="C14" s="10" t="s">
        <v>98</v>
      </c>
      <c r="D14" s="10" t="s">
        <v>99</v>
      </c>
      <c r="E14" s="10"/>
    </row>
    <row r="15" spans="1:5" ht="21.75" customHeight="1" x14ac:dyDescent="0.35">
      <c r="A15" s="9" t="s">
        <v>100</v>
      </c>
      <c r="B15" s="10" t="s">
        <v>101</v>
      </c>
      <c r="C15" s="10" t="s">
        <v>102</v>
      </c>
      <c r="D15" s="10" t="s">
        <v>103</v>
      </c>
      <c r="E15" s="10"/>
    </row>
    <row r="16" spans="1:5" ht="21.75" customHeight="1" x14ac:dyDescent="0.35">
      <c r="A16" s="9" t="s">
        <v>104</v>
      </c>
      <c r="B16" s="10" t="s">
        <v>105</v>
      </c>
      <c r="C16" s="10" t="s">
        <v>106</v>
      </c>
      <c r="D16" s="10" t="s">
        <v>107</v>
      </c>
      <c r="E16" s="10"/>
    </row>
    <row r="17" spans="1:5" ht="14.25" customHeight="1" x14ac:dyDescent="0.35">
      <c r="A17" s="9" t="s">
        <v>108</v>
      </c>
      <c r="B17" s="10" t="s">
        <v>109</v>
      </c>
      <c r="C17" s="10" t="s">
        <v>110</v>
      </c>
      <c r="D17" s="10" t="s">
        <v>111</v>
      </c>
      <c r="E17" s="10"/>
    </row>
    <row r="18" spans="1:5" ht="14.25" customHeight="1" x14ac:dyDescent="0.35">
      <c r="A18" s="9" t="s">
        <v>112</v>
      </c>
      <c r="B18" s="10" t="s">
        <v>113</v>
      </c>
      <c r="C18" s="10" t="s">
        <v>114</v>
      </c>
      <c r="D18" s="10" t="s">
        <v>115</v>
      </c>
      <c r="E18" s="10"/>
    </row>
    <row r="19" spans="1:5" ht="14.25" customHeight="1" x14ac:dyDescent="0.35">
      <c r="A19" s="1"/>
      <c r="B19" s="1"/>
      <c r="C19" s="1"/>
      <c r="D19" s="1"/>
      <c r="E19" s="1"/>
    </row>
    <row r="20" spans="1:5" ht="14.25" customHeight="1" x14ac:dyDescent="0.35">
      <c r="A20" s="1"/>
      <c r="B20" s="1"/>
      <c r="C20" s="1"/>
      <c r="D20" s="1"/>
      <c r="E20" s="1"/>
    </row>
    <row r="21" spans="1:5" ht="14.25" customHeight="1" x14ac:dyDescent="0.35">
      <c r="A21" s="2" t="s">
        <v>116</v>
      </c>
      <c r="B21" s="1"/>
      <c r="C21" s="1"/>
      <c r="D21" s="1"/>
      <c r="E21" s="1"/>
    </row>
    <row r="22" spans="1:5" ht="14.25" customHeight="1" x14ac:dyDescent="0.35">
      <c r="A22" s="5" t="s">
        <v>117</v>
      </c>
      <c r="B22" s="6" t="s">
        <v>118</v>
      </c>
      <c r="C22" s="6" t="s">
        <v>78</v>
      </c>
      <c r="D22" s="1"/>
      <c r="E22" s="1"/>
    </row>
    <row r="23" spans="1:5" ht="43.5" customHeight="1" x14ac:dyDescent="0.35">
      <c r="A23" s="9" t="s">
        <v>119</v>
      </c>
      <c r="B23" s="10" t="s">
        <v>120</v>
      </c>
      <c r="C23" s="10" t="s">
        <v>121</v>
      </c>
      <c r="D23" s="1"/>
      <c r="E23" s="1"/>
    </row>
    <row r="24" spans="1:5" ht="33" customHeight="1" x14ac:dyDescent="0.35">
      <c r="A24" s="9" t="s">
        <v>122</v>
      </c>
      <c r="B24" s="10" t="s">
        <v>123</v>
      </c>
      <c r="C24" s="10" t="s">
        <v>124</v>
      </c>
      <c r="D24" s="1"/>
      <c r="E24" s="1"/>
    </row>
    <row r="25" spans="1:5" ht="33" customHeight="1" x14ac:dyDescent="0.35">
      <c r="A25" s="9" t="s">
        <v>125</v>
      </c>
      <c r="B25" s="10" t="s">
        <v>126</v>
      </c>
      <c r="C25" s="10" t="s">
        <v>127</v>
      </c>
      <c r="D25" s="1"/>
      <c r="E25" s="1"/>
    </row>
    <row r="26" spans="1:5" ht="14.25" customHeight="1" x14ac:dyDescent="0.35">
      <c r="A26" s="1"/>
      <c r="B26" s="1"/>
      <c r="C26" s="1"/>
      <c r="D26" s="1"/>
      <c r="E26" s="1"/>
    </row>
    <row r="27" spans="1:5" ht="14.25" customHeight="1" x14ac:dyDescent="0.35">
      <c r="A27" s="3"/>
      <c r="B27" s="1"/>
      <c r="C27" s="1"/>
      <c r="D27" s="1"/>
      <c r="E27" s="1"/>
    </row>
    <row r="28" spans="1:5" ht="14.25" customHeight="1" x14ac:dyDescent="0.35">
      <c r="A28" s="4"/>
      <c r="B28" s="1"/>
      <c r="C28" s="1"/>
      <c r="D28" s="1"/>
      <c r="E28" s="1"/>
    </row>
    <row r="29" spans="1:5" ht="14.25" customHeight="1" x14ac:dyDescent="0.35">
      <c r="A29" s="4"/>
      <c r="B29" s="1"/>
      <c r="C29" s="1"/>
      <c r="D29" s="1"/>
      <c r="E29" s="1"/>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zoomScaleNormal="100" workbookViewId="0">
      <selection activeCell="A30" sqref="A30"/>
    </sheetView>
  </sheetViews>
  <sheetFormatPr defaultColWidth="8.6328125" defaultRowHeight="14.5" x14ac:dyDescent="0.35"/>
  <cols>
    <col min="1" max="1" width="40" customWidth="1"/>
    <col min="2" max="2" width="16" customWidth="1"/>
    <col min="3" max="3" width="18" customWidth="1"/>
    <col min="4" max="4" width="16" customWidth="1"/>
    <col min="5" max="5" width="52" customWidth="1"/>
  </cols>
  <sheetData>
    <row r="1" spans="1:5" ht="18" customHeight="1" x14ac:dyDescent="0.4">
      <c r="A1" s="8" t="s">
        <v>128</v>
      </c>
      <c r="B1" s="1"/>
      <c r="C1" s="1"/>
      <c r="D1" s="1"/>
      <c r="E1" s="1"/>
    </row>
    <row r="2" spans="1:5" ht="14.25" customHeight="1" x14ac:dyDescent="0.35">
      <c r="A2" s="7" t="s">
        <v>129</v>
      </c>
      <c r="B2" s="1"/>
      <c r="C2" s="1"/>
      <c r="D2" s="1"/>
      <c r="E2" s="1"/>
    </row>
    <row r="3" spans="1:5" ht="14.25" customHeight="1" x14ac:dyDescent="0.35">
      <c r="A3" s="1"/>
      <c r="B3" s="1"/>
      <c r="C3" s="1"/>
      <c r="D3" s="1"/>
      <c r="E3" s="1"/>
    </row>
    <row r="4" spans="1:5" ht="14.25" customHeight="1" x14ac:dyDescent="0.35">
      <c r="A4" s="2" t="s">
        <v>130</v>
      </c>
      <c r="B4" s="1"/>
      <c r="C4" s="1"/>
      <c r="D4" s="1"/>
      <c r="E4" s="1"/>
    </row>
    <row r="5" spans="1:5" ht="14.25" customHeight="1" x14ac:dyDescent="0.35">
      <c r="A5" s="5" t="s">
        <v>131</v>
      </c>
      <c r="B5" s="6" t="s">
        <v>132</v>
      </c>
      <c r="C5" s="6" t="s">
        <v>133</v>
      </c>
      <c r="D5" s="6" t="s">
        <v>134</v>
      </c>
      <c r="E5" s="6" t="s">
        <v>135</v>
      </c>
    </row>
    <row r="6" spans="1:5" ht="14.25" customHeight="1" x14ac:dyDescent="0.35">
      <c r="A6" s="11" t="s">
        <v>136</v>
      </c>
      <c r="B6" s="12">
        <v>0.68</v>
      </c>
      <c r="C6" s="13">
        <f>'Consumer Build'!B31</f>
        <v>4.9308071978737801E-2</v>
      </c>
      <c r="D6" s="14">
        <f>B6*C6</f>
        <v>3.3529488945541711E-2</v>
      </c>
      <c r="E6" s="15" t="s">
        <v>137</v>
      </c>
    </row>
    <row r="7" spans="1:5" ht="22.5" customHeight="1" x14ac:dyDescent="0.35">
      <c r="A7" s="11" t="s">
        <v>138</v>
      </c>
      <c r="B7" s="12">
        <v>0.18</v>
      </c>
      <c r="C7" s="13">
        <f>'Investment Build'!B15</f>
        <v>4.3588621633958935E-2</v>
      </c>
      <c r="D7" s="14">
        <f>B7*C7</f>
        <v>7.8459518941126072E-3</v>
      </c>
      <c r="E7" s="15" t="s">
        <v>139</v>
      </c>
    </row>
    <row r="8" spans="1:5" ht="14.25" customHeight="1" x14ac:dyDescent="0.35">
      <c r="A8" s="11" t="s">
        <v>140</v>
      </c>
      <c r="B8" s="12">
        <v>0.17</v>
      </c>
      <c r="C8" s="13">
        <f>'Government Build'!B15</f>
        <v>4.449214568078097E-2</v>
      </c>
      <c r="D8" s="14">
        <f>B8*C8</f>
        <v>7.5636647657327657E-3</v>
      </c>
      <c r="E8" s="15" t="s">
        <v>24</v>
      </c>
    </row>
    <row r="9" spans="1:5" ht="14.25" customHeight="1" x14ac:dyDescent="0.35">
      <c r="A9" s="11" t="s">
        <v>141</v>
      </c>
      <c r="B9" s="12">
        <v>-0.03</v>
      </c>
      <c r="C9" s="13">
        <f>'Net Trade Build'!B8</f>
        <v>-0.11632099281592523</v>
      </c>
      <c r="D9" s="14">
        <f>B9*C9</f>
        <v>3.4896297844777568E-3</v>
      </c>
      <c r="E9" s="15" t="s">
        <v>142</v>
      </c>
    </row>
    <row r="10" spans="1:5" ht="14.25" customHeight="1" x14ac:dyDescent="0.35">
      <c r="A10" s="16" t="s">
        <v>143</v>
      </c>
      <c r="B10" s="17">
        <f>SUM(B6:B9)</f>
        <v>1</v>
      </c>
      <c r="C10" s="1"/>
      <c r="D10" s="18">
        <f>SUM(D6:D9)</f>
        <v>5.2428735389864839E-2</v>
      </c>
      <c r="E10" s="1"/>
    </row>
    <row r="11" spans="1:5" ht="14.25" customHeight="1" x14ac:dyDescent="0.35">
      <c r="A11" s="1"/>
      <c r="B11" s="1"/>
      <c r="C11" s="1"/>
      <c r="D11" s="1"/>
      <c r="E11" s="1"/>
    </row>
    <row r="12" spans="1:5" ht="14.25" customHeight="1" x14ac:dyDescent="0.35">
      <c r="A12" s="2" t="s">
        <v>144</v>
      </c>
      <c r="B12" s="1"/>
      <c r="C12" s="1"/>
      <c r="D12" s="1"/>
      <c r="E12" s="1"/>
    </row>
    <row r="13" spans="1:5" ht="14.25" customHeight="1" x14ac:dyDescent="0.35">
      <c r="A13" s="5" t="s">
        <v>145</v>
      </c>
      <c r="B13" s="6" t="s">
        <v>146</v>
      </c>
      <c r="C13" s="6" t="s">
        <v>147</v>
      </c>
      <c r="D13" s="1"/>
      <c r="E13" s="1"/>
    </row>
    <row r="14" spans="1:5" ht="14.25" customHeight="1" x14ac:dyDescent="0.35">
      <c r="A14" s="19" t="s">
        <v>148</v>
      </c>
      <c r="B14" s="20">
        <f>D10</f>
        <v>5.2428735389864839E-2</v>
      </c>
      <c r="C14" s="1"/>
      <c r="D14" s="1"/>
      <c r="E14" s="1"/>
    </row>
    <row r="15" spans="1:5" ht="21.75" customHeight="1" x14ac:dyDescent="0.35">
      <c r="A15" s="19" t="s">
        <v>149</v>
      </c>
      <c r="B15" s="20">
        <f>'Inflation Build'!D29</f>
        <v>3.4285794805232632E-2</v>
      </c>
      <c r="C15" s="15" t="s">
        <v>150</v>
      </c>
      <c r="D15" s="1"/>
      <c r="E15" s="1"/>
    </row>
    <row r="16" spans="1:5" ht="21.75" customHeight="1" x14ac:dyDescent="0.35">
      <c r="A16" s="16" t="s">
        <v>151</v>
      </c>
      <c r="B16" s="21">
        <f>(1+B14)/(1+B15)-1</f>
        <v>1.754151577422447E-2</v>
      </c>
      <c r="C16" s="15" t="s">
        <v>152</v>
      </c>
      <c r="D16" s="1"/>
      <c r="E16" s="1"/>
    </row>
    <row r="17" spans="1:5" ht="14.25" customHeight="1" x14ac:dyDescent="0.35">
      <c r="A17" s="1"/>
      <c r="B17" s="1"/>
      <c r="C17" s="1"/>
      <c r="D17" s="1"/>
      <c r="E17" s="1"/>
    </row>
    <row r="18" spans="1:5" ht="14.25" customHeight="1" x14ac:dyDescent="0.35">
      <c r="A18" s="1"/>
      <c r="B18" s="1"/>
      <c r="C18" s="1"/>
      <c r="D18" s="1"/>
      <c r="E18" s="1"/>
    </row>
    <row r="19" spans="1:5" ht="14.25" customHeight="1" x14ac:dyDescent="0.35">
      <c r="A19" s="2" t="s">
        <v>153</v>
      </c>
      <c r="B19" s="1"/>
      <c r="C19" s="1"/>
      <c r="D19" s="1"/>
      <c r="E19" s="1"/>
    </row>
    <row r="20" spans="1:5" ht="14.25" customHeight="1" x14ac:dyDescent="0.35">
      <c r="A20" s="5" t="s">
        <v>145</v>
      </c>
      <c r="B20" s="6" t="s">
        <v>146</v>
      </c>
      <c r="C20" s="6" t="s">
        <v>147</v>
      </c>
      <c r="D20" s="1"/>
      <c r="E20" s="1"/>
    </row>
    <row r="21" spans="1:5" ht="33" customHeight="1" x14ac:dyDescent="0.35">
      <c r="A21" s="16" t="s">
        <v>154</v>
      </c>
      <c r="B21" s="21">
        <f>'Interest Rate Build'!B33</f>
        <v>4.9000000000000002E-2</v>
      </c>
      <c r="C21" s="15" t="s">
        <v>155</v>
      </c>
      <c r="D21" s="1"/>
      <c r="E21" s="1"/>
    </row>
    <row r="22" spans="1:5" ht="21.75" customHeight="1" x14ac:dyDescent="0.35">
      <c r="A22" s="19" t="s">
        <v>156</v>
      </c>
      <c r="B22" s="20">
        <f>'Interest Rate Build'!B54</f>
        <v>4.18273105794571E-2</v>
      </c>
      <c r="C22" s="15" t="s">
        <v>157</v>
      </c>
      <c r="D22" s="1"/>
      <c r="E22" s="1"/>
    </row>
    <row r="23" spans="1:5" ht="14.25" customHeight="1" x14ac:dyDescent="0.35">
      <c r="A23" s="16" t="s">
        <v>158</v>
      </c>
      <c r="B23" s="21">
        <f>'Consumer Build'!B41</f>
        <v>4.3939484517784198E-2</v>
      </c>
      <c r="C23" s="1"/>
      <c r="D23" s="1"/>
      <c r="E23" s="1"/>
    </row>
    <row r="24" spans="1:5" ht="14.25" customHeight="1" x14ac:dyDescent="0.35">
      <c r="A24" s="1"/>
      <c r="B24" s="1"/>
      <c r="C24" s="1"/>
      <c r="D24" s="1"/>
      <c r="E24" s="1"/>
    </row>
    <row r="25" spans="1:5" ht="14.25" customHeight="1" x14ac:dyDescent="0.35">
      <c r="A25" s="38" t="s">
        <v>159</v>
      </c>
      <c r="B25" s="34"/>
      <c r="C25" s="34"/>
      <c r="D25" s="34"/>
      <c r="E25" s="1"/>
    </row>
    <row r="26" spans="1:5" ht="14.25" customHeight="1" x14ac:dyDescent="0.35">
      <c r="A26" s="39" t="s">
        <v>768</v>
      </c>
      <c r="B26" s="34"/>
      <c r="C26" s="34"/>
      <c r="D26" s="34"/>
      <c r="E26" s="1"/>
    </row>
    <row r="27" spans="1:5" ht="14.25" customHeight="1" x14ac:dyDescent="0.35">
      <c r="A27" s="39" t="s">
        <v>769</v>
      </c>
      <c r="B27" s="34"/>
      <c r="C27" s="34"/>
      <c r="D27" s="34"/>
      <c r="E27" s="1"/>
    </row>
    <row r="28" spans="1:5" x14ac:dyDescent="0.35">
      <c r="A28" s="39" t="s">
        <v>771</v>
      </c>
      <c r="B28" s="48"/>
      <c r="C28" s="48"/>
      <c r="D28" s="48"/>
    </row>
    <row r="29" spans="1:5" x14ac:dyDescent="0.35">
      <c r="A29" s="39" t="s">
        <v>773</v>
      </c>
      <c r="B29" s="48"/>
      <c r="C29" s="48"/>
      <c r="D29" s="48"/>
    </row>
    <row r="30" spans="1:5" x14ac:dyDescent="0.35">
      <c r="A30" s="39" t="s">
        <v>772</v>
      </c>
      <c r="B30" s="48"/>
      <c r="C30" s="48"/>
      <c r="D30" s="48"/>
    </row>
    <row r="31" spans="1:5" x14ac:dyDescent="0.35">
      <c r="A31" s="39" t="s">
        <v>770</v>
      </c>
      <c r="B31" s="48"/>
      <c r="C31" s="48"/>
      <c r="D31" s="48"/>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1"/>
  <sheetViews>
    <sheetView zoomScaleNormal="100" workbookViewId="0">
      <selection activeCell="A27" sqref="A27"/>
    </sheetView>
  </sheetViews>
  <sheetFormatPr defaultColWidth="8.6328125" defaultRowHeight="14" x14ac:dyDescent="0.3"/>
  <cols>
    <col min="1" max="1" width="44" style="48" customWidth="1"/>
    <col min="2" max="2" width="18" style="48" customWidth="1"/>
    <col min="3" max="3" width="66" style="48" customWidth="1"/>
    <col min="4" max="16384" width="8.6328125" style="48"/>
  </cols>
  <sheetData>
    <row r="1" spans="1:3" ht="18" customHeight="1" x14ac:dyDescent="0.4">
      <c r="A1" s="51" t="s">
        <v>11</v>
      </c>
      <c r="B1" s="34"/>
      <c r="C1" s="34"/>
    </row>
    <row r="2" spans="1:3" ht="14.25" customHeight="1" x14ac:dyDescent="0.3">
      <c r="A2" s="39" t="s">
        <v>160</v>
      </c>
      <c r="B2" s="34"/>
      <c r="C2" s="34"/>
    </row>
    <row r="3" spans="1:3" ht="14.25" customHeight="1" x14ac:dyDescent="0.3">
      <c r="A3" s="34"/>
      <c r="B3" s="34"/>
      <c r="C3" s="34"/>
    </row>
    <row r="4" spans="1:3" ht="14.25" customHeight="1" x14ac:dyDescent="0.3">
      <c r="A4" s="37" t="s">
        <v>161</v>
      </c>
      <c r="B4" s="34"/>
      <c r="C4" s="34"/>
    </row>
    <row r="5" spans="1:3" ht="14.25" customHeight="1" x14ac:dyDescent="0.3">
      <c r="A5" s="40" t="s">
        <v>162</v>
      </c>
      <c r="B5" s="41" t="s">
        <v>146</v>
      </c>
      <c r="C5" s="41" t="s">
        <v>163</v>
      </c>
    </row>
    <row r="6" spans="1:3" ht="14.25" customHeight="1" x14ac:dyDescent="0.3">
      <c r="A6" s="52" t="s">
        <v>164</v>
      </c>
      <c r="B6" s="53">
        <v>170807000</v>
      </c>
      <c r="C6" s="54" t="s">
        <v>165</v>
      </c>
    </row>
    <row r="7" spans="1:3" ht="14.25" customHeight="1" x14ac:dyDescent="0.3">
      <c r="A7" s="52" t="s">
        <v>166</v>
      </c>
      <c r="B7" s="53">
        <v>163493000</v>
      </c>
      <c r="C7" s="54" t="s">
        <v>165</v>
      </c>
    </row>
    <row r="8" spans="1:3" ht="14.25" customHeight="1" x14ac:dyDescent="0.3">
      <c r="A8" s="52" t="s">
        <v>167</v>
      </c>
      <c r="B8" s="53">
        <v>273653000</v>
      </c>
      <c r="C8" s="54" t="s">
        <v>168</v>
      </c>
    </row>
    <row r="9" spans="1:3" ht="14.25" customHeight="1" x14ac:dyDescent="0.3">
      <c r="A9" s="52" t="s">
        <v>169</v>
      </c>
      <c r="B9" s="55">
        <f>(283863000/268571000)^(1/10)-1</f>
        <v>5.5530027173529284E-3</v>
      </c>
      <c r="C9" s="54" t="s">
        <v>170</v>
      </c>
    </row>
    <row r="10" spans="1:3" ht="14.25" customHeight="1" x14ac:dyDescent="0.3">
      <c r="A10" s="52" t="s">
        <v>171</v>
      </c>
      <c r="B10" s="56">
        <f>B9*B8</f>
        <v>1519595.8526117809</v>
      </c>
      <c r="C10" s="54" t="s">
        <v>172</v>
      </c>
    </row>
    <row r="11" spans="1:3" ht="14.25" customHeight="1" x14ac:dyDescent="0.3">
      <c r="A11" s="52" t="s">
        <v>173</v>
      </c>
      <c r="B11" s="53">
        <v>0</v>
      </c>
      <c r="C11" s="54" t="s">
        <v>174</v>
      </c>
    </row>
    <row r="12" spans="1:3" ht="21.75" customHeight="1" x14ac:dyDescent="0.3">
      <c r="A12" s="52" t="s">
        <v>175</v>
      </c>
      <c r="B12" s="57">
        <v>0.62380000000000002</v>
      </c>
      <c r="C12" s="54" t="s">
        <v>176</v>
      </c>
    </row>
    <row r="13" spans="1:3" ht="14.25" customHeight="1" x14ac:dyDescent="0.3">
      <c r="A13" s="52" t="s">
        <v>177</v>
      </c>
      <c r="B13" s="56">
        <f>B12*(B8+B10+B11)</f>
        <v>171652665.29285923</v>
      </c>
      <c r="C13" s="34"/>
    </row>
    <row r="14" spans="1:3" ht="14.25" customHeight="1" x14ac:dyDescent="0.3">
      <c r="A14" s="58" t="s">
        <v>178</v>
      </c>
      <c r="B14" s="59">
        <f>B13-B6</f>
        <v>845665.29285922647</v>
      </c>
      <c r="C14" s="54" t="s">
        <v>179</v>
      </c>
    </row>
    <row r="15" spans="1:3" ht="14.25" customHeight="1" x14ac:dyDescent="0.3">
      <c r="A15" s="52" t="s">
        <v>180</v>
      </c>
      <c r="B15" s="56">
        <f>B13</f>
        <v>171652665.29285923</v>
      </c>
      <c r="C15" s="34"/>
    </row>
    <row r="16" spans="1:3" ht="14.25" customHeight="1" x14ac:dyDescent="0.3">
      <c r="A16" s="34"/>
      <c r="B16" s="34"/>
      <c r="C16" s="34"/>
    </row>
    <row r="17" spans="1:3" ht="14.25" customHeight="1" x14ac:dyDescent="0.3">
      <c r="A17" s="34"/>
      <c r="B17" s="34"/>
      <c r="C17" s="34"/>
    </row>
    <row r="18" spans="1:3" ht="14.25" customHeight="1" x14ac:dyDescent="0.3">
      <c r="A18" s="37" t="s">
        <v>181</v>
      </c>
      <c r="B18" s="34"/>
      <c r="C18" s="34"/>
    </row>
    <row r="19" spans="1:3" ht="14.25" customHeight="1" x14ac:dyDescent="0.3">
      <c r="A19" s="40" t="s">
        <v>162</v>
      </c>
      <c r="B19" s="41" t="s">
        <v>146</v>
      </c>
      <c r="C19" s="41" t="s">
        <v>163</v>
      </c>
    </row>
    <row r="20" spans="1:3" ht="14.25" customHeight="1" x14ac:dyDescent="0.3">
      <c r="A20" s="52" t="s">
        <v>182</v>
      </c>
      <c r="B20" s="56">
        <f>B14</f>
        <v>845665.29285922647</v>
      </c>
      <c r="C20" s="54" t="s">
        <v>183</v>
      </c>
    </row>
    <row r="21" spans="1:3" ht="22.5" customHeight="1" x14ac:dyDescent="0.3">
      <c r="A21" s="52" t="s">
        <v>184</v>
      </c>
      <c r="B21" s="60">
        <v>0.73</v>
      </c>
      <c r="C21" s="54" t="s">
        <v>185</v>
      </c>
    </row>
    <row r="22" spans="1:3" ht="14.25" customHeight="1" x14ac:dyDescent="0.3">
      <c r="A22" s="58" t="s">
        <v>186</v>
      </c>
      <c r="B22" s="59">
        <f>B20*B21</f>
        <v>617335.66378723527</v>
      </c>
      <c r="C22" s="34"/>
    </row>
    <row r="23" spans="1:3" ht="14.25" customHeight="1" x14ac:dyDescent="0.3">
      <c r="A23" s="52" t="s">
        <v>187</v>
      </c>
      <c r="B23" s="61">
        <f>B22/B7</f>
        <v>3.7759149553022774E-3</v>
      </c>
      <c r="C23" s="54" t="s">
        <v>188</v>
      </c>
    </row>
    <row r="24" spans="1:3" ht="14.25" customHeight="1" x14ac:dyDescent="0.3">
      <c r="A24" s="34"/>
      <c r="B24" s="34"/>
      <c r="C24" s="34"/>
    </row>
    <row r="25" spans="1:3" ht="14.25" customHeight="1" x14ac:dyDescent="0.3">
      <c r="A25" s="37" t="s">
        <v>189</v>
      </c>
      <c r="B25" s="34"/>
      <c r="C25" s="34"/>
    </row>
    <row r="26" spans="1:3" ht="14.25" customHeight="1" x14ac:dyDescent="0.3">
      <c r="A26" s="40" t="s">
        <v>162</v>
      </c>
      <c r="B26" s="41" t="s">
        <v>146</v>
      </c>
      <c r="C26" s="41" t="s">
        <v>163</v>
      </c>
    </row>
    <row r="27" spans="1:3" ht="14.25" customHeight="1" x14ac:dyDescent="0.3">
      <c r="A27" s="52" t="s">
        <v>190</v>
      </c>
      <c r="B27" s="62">
        <f>'Inflation Build'!B8</f>
        <v>3.5000000000000003E-2</v>
      </c>
      <c r="C27" s="54" t="s">
        <v>191</v>
      </c>
    </row>
    <row r="28" spans="1:3" ht="14.25" customHeight="1" x14ac:dyDescent="0.3">
      <c r="A28" s="52" t="s">
        <v>192</v>
      </c>
      <c r="B28" s="63">
        <f>B23</f>
        <v>3.7759149553022774E-3</v>
      </c>
      <c r="C28" s="34"/>
    </row>
    <row r="29" spans="1:3" ht="14.25" customHeight="1" x14ac:dyDescent="0.3">
      <c r="A29" s="58" t="s">
        <v>193</v>
      </c>
      <c r="B29" s="64">
        <f>(1+B28)*(1+B27)-1</f>
        <v>3.8908071978737802E-2</v>
      </c>
      <c r="C29" s="54" t="s">
        <v>194</v>
      </c>
    </row>
    <row r="30" spans="1:3" ht="22.5" customHeight="1" x14ac:dyDescent="0.3">
      <c r="A30" s="52" t="s">
        <v>195</v>
      </c>
      <c r="B30" s="65">
        <f>AVERAGE(0.045,0.038,0.035,0.03,0.03)-0.046</f>
        <v>-1.04E-2</v>
      </c>
      <c r="C30" s="54" t="s">
        <v>196</v>
      </c>
    </row>
    <row r="31" spans="1:3" ht="14.25" customHeight="1" x14ac:dyDescent="0.3">
      <c r="A31" s="58" t="s">
        <v>197</v>
      </c>
      <c r="B31" s="64">
        <f>B29-B30</f>
        <v>4.9308071978737801E-2</v>
      </c>
      <c r="C31" s="54" t="s">
        <v>198</v>
      </c>
    </row>
    <row r="32" spans="1:3" ht="14.25" customHeight="1" x14ac:dyDescent="0.3">
      <c r="A32" s="34"/>
      <c r="B32" s="34"/>
      <c r="C32" s="34"/>
    </row>
    <row r="33" spans="1:3" ht="14.25" customHeight="1" x14ac:dyDescent="0.3">
      <c r="A33" s="38" t="s">
        <v>199</v>
      </c>
      <c r="B33" s="34"/>
      <c r="C33" s="34"/>
    </row>
    <row r="34" spans="1:3" ht="14.25" customHeight="1" x14ac:dyDescent="0.3">
      <c r="A34" s="39" t="s">
        <v>200</v>
      </c>
      <c r="B34" s="34"/>
      <c r="C34" s="34"/>
    </row>
    <row r="35" spans="1:3" ht="14.25" customHeight="1" x14ac:dyDescent="0.3">
      <c r="A35" s="34"/>
      <c r="B35" s="34"/>
      <c r="C35" s="34"/>
    </row>
    <row r="36" spans="1:3" ht="14.25" customHeight="1" x14ac:dyDescent="0.3">
      <c r="A36" s="37" t="s">
        <v>201</v>
      </c>
      <c r="B36" s="34"/>
      <c r="C36" s="34"/>
    </row>
    <row r="37" spans="1:3" ht="14.25" customHeight="1" x14ac:dyDescent="0.3">
      <c r="A37" s="40" t="s">
        <v>162</v>
      </c>
      <c r="B37" s="41" t="s">
        <v>146</v>
      </c>
      <c r="C37" s="41" t="s">
        <v>163</v>
      </c>
    </row>
    <row r="38" spans="1:3" ht="14.25" customHeight="1" x14ac:dyDescent="0.3">
      <c r="A38" s="52" t="s">
        <v>180</v>
      </c>
      <c r="B38" s="66">
        <f>B15</f>
        <v>171652665.29285923</v>
      </c>
      <c r="C38" s="34"/>
    </row>
    <row r="39" spans="1:3" ht="14.25" customHeight="1" x14ac:dyDescent="0.3">
      <c r="A39" s="52" t="s">
        <v>202</v>
      </c>
      <c r="B39" s="56">
        <f>B7+B22</f>
        <v>164110335.66378725</v>
      </c>
      <c r="C39" s="54" t="s">
        <v>203</v>
      </c>
    </row>
    <row r="40" spans="1:3" ht="14.25" customHeight="1" x14ac:dyDescent="0.3">
      <c r="A40" s="52" t="s">
        <v>204</v>
      </c>
      <c r="B40" s="56">
        <f>B38-B39</f>
        <v>7542329.6290719807</v>
      </c>
      <c r="C40" s="34"/>
    </row>
    <row r="41" spans="1:3" ht="14.25" customHeight="1" x14ac:dyDescent="0.3">
      <c r="A41" s="58" t="s">
        <v>158</v>
      </c>
      <c r="B41" s="64">
        <f>B40/B38</f>
        <v>4.3939484517784198E-2</v>
      </c>
      <c r="C41" s="34"/>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9"/>
  <sheetViews>
    <sheetView zoomScaleNormal="100" workbookViewId="0">
      <selection activeCell="F27" sqref="F27"/>
    </sheetView>
  </sheetViews>
  <sheetFormatPr defaultColWidth="8.6328125" defaultRowHeight="14" x14ac:dyDescent="0.3"/>
  <cols>
    <col min="1" max="1" width="34" style="48" customWidth="1"/>
    <col min="2" max="2" width="12" style="48" customWidth="1"/>
    <col min="3" max="3" width="14" style="48" customWidth="1"/>
    <col min="4" max="4" width="18" style="48" customWidth="1"/>
    <col min="5" max="6" width="16" style="48" customWidth="1"/>
    <col min="7" max="16384" width="8.6328125" style="48"/>
  </cols>
  <sheetData>
    <row r="1" spans="1:6" ht="18" customHeight="1" x14ac:dyDescent="0.4">
      <c r="A1" s="51" t="s">
        <v>14</v>
      </c>
      <c r="B1" s="34"/>
      <c r="C1" s="34"/>
      <c r="D1" s="34"/>
      <c r="E1" s="34"/>
      <c r="F1" s="34"/>
    </row>
    <row r="2" spans="1:6" ht="14.25" customHeight="1" x14ac:dyDescent="0.3">
      <c r="A2" s="39" t="s">
        <v>205</v>
      </c>
      <c r="B2" s="34"/>
      <c r="C2" s="34"/>
      <c r="D2" s="34"/>
      <c r="E2" s="34"/>
      <c r="F2" s="34"/>
    </row>
    <row r="3" spans="1:6" ht="14.25" customHeight="1" x14ac:dyDescent="0.3">
      <c r="A3" s="34"/>
      <c r="B3" s="34"/>
      <c r="C3" s="34"/>
      <c r="D3" s="34"/>
      <c r="E3" s="34"/>
      <c r="F3" s="34"/>
    </row>
    <row r="4" spans="1:6" ht="14.25" customHeight="1" x14ac:dyDescent="0.3">
      <c r="A4" s="37" t="s">
        <v>206</v>
      </c>
      <c r="B4" s="34"/>
      <c r="C4" s="34"/>
      <c r="D4" s="34"/>
      <c r="E4" s="34"/>
      <c r="F4" s="34"/>
    </row>
    <row r="5" spans="1:6" ht="14.25" customHeight="1" x14ac:dyDescent="0.3">
      <c r="A5" s="40" t="s">
        <v>75</v>
      </c>
      <c r="B5" s="41" t="s">
        <v>207</v>
      </c>
      <c r="C5" s="41" t="s">
        <v>208</v>
      </c>
      <c r="D5" s="34"/>
      <c r="E5" s="34"/>
      <c r="F5" s="34"/>
    </row>
    <row r="6" spans="1:6" ht="43.5" customHeight="1" x14ac:dyDescent="0.3">
      <c r="A6" s="52" t="s">
        <v>209</v>
      </c>
      <c r="B6" s="67">
        <v>3.5999999999999997E-2</v>
      </c>
      <c r="C6" s="54" t="s">
        <v>210</v>
      </c>
      <c r="D6" s="34"/>
      <c r="E6" s="34"/>
      <c r="F6" s="34"/>
    </row>
    <row r="7" spans="1:6" ht="21.75" customHeight="1" x14ac:dyDescent="0.3">
      <c r="A7" s="52" t="s">
        <v>211</v>
      </c>
      <c r="B7" s="67">
        <v>3.4000000000000002E-2</v>
      </c>
      <c r="C7" s="54" t="s">
        <v>212</v>
      </c>
      <c r="D7" s="34"/>
      <c r="E7" s="34"/>
      <c r="F7" s="34"/>
    </row>
    <row r="8" spans="1:6" ht="33" customHeight="1" x14ac:dyDescent="0.3">
      <c r="A8" s="58" t="s">
        <v>213</v>
      </c>
      <c r="B8" s="64">
        <f>AVERAGE(B6:B7)</f>
        <v>3.5000000000000003E-2</v>
      </c>
      <c r="C8" s="54" t="s">
        <v>214</v>
      </c>
      <c r="D8" s="34"/>
      <c r="E8" s="34"/>
      <c r="F8" s="34"/>
    </row>
    <row r="9" spans="1:6" ht="14.25" customHeight="1" x14ac:dyDescent="0.3">
      <c r="A9" s="34"/>
      <c r="B9" s="34"/>
      <c r="C9" s="34"/>
      <c r="D9" s="34"/>
      <c r="E9" s="34"/>
      <c r="F9" s="34"/>
    </row>
    <row r="10" spans="1:6" ht="14.25" customHeight="1" x14ac:dyDescent="0.3">
      <c r="A10" s="37" t="s">
        <v>215</v>
      </c>
      <c r="B10" s="34"/>
      <c r="C10" s="34"/>
      <c r="D10" s="34"/>
      <c r="E10" s="34"/>
      <c r="F10" s="34"/>
    </row>
    <row r="11" spans="1:6" ht="14.25" customHeight="1" x14ac:dyDescent="0.3">
      <c r="A11" s="40" t="s">
        <v>216</v>
      </c>
      <c r="B11" s="41" t="s">
        <v>132</v>
      </c>
      <c r="C11" s="41" t="s">
        <v>217</v>
      </c>
      <c r="D11" s="41" t="s">
        <v>218</v>
      </c>
      <c r="E11" s="41" t="s">
        <v>219</v>
      </c>
      <c r="F11" s="41" t="s">
        <v>220</v>
      </c>
    </row>
    <row r="12" spans="1:6" ht="14.25" customHeight="1" x14ac:dyDescent="0.3">
      <c r="A12" s="68" t="s">
        <v>221</v>
      </c>
      <c r="B12" s="69">
        <v>0.3</v>
      </c>
      <c r="C12" s="70">
        <v>68.78</v>
      </c>
      <c r="D12" s="70">
        <v>67.92</v>
      </c>
      <c r="E12" s="71">
        <f>(D12/C12)^0.5-1</f>
        <v>-6.2714831391581516E-3</v>
      </c>
      <c r="F12" s="71">
        <f t="shared" ref="F12:F19" si="0">E12*B12</f>
        <v>-1.8814449417474453E-3</v>
      </c>
    </row>
    <row r="13" spans="1:6" ht="14.25" customHeight="1" x14ac:dyDescent="0.3">
      <c r="A13" s="68" t="s">
        <v>222</v>
      </c>
      <c r="B13" s="69">
        <v>0.1</v>
      </c>
      <c r="C13" s="70">
        <v>1122.75</v>
      </c>
      <c r="D13" s="70">
        <v>1175.75</v>
      </c>
      <c r="E13" s="71">
        <f t="shared" ref="E13:E19" si="1">D13/C13-1</f>
        <v>4.7205522155421953E-2</v>
      </c>
      <c r="F13" s="71">
        <f t="shared" si="0"/>
        <v>4.7205522155421955E-3</v>
      </c>
    </row>
    <row r="14" spans="1:6" ht="14.25" customHeight="1" x14ac:dyDescent="0.3">
      <c r="A14" s="68" t="s">
        <v>223</v>
      </c>
      <c r="B14" s="69">
        <v>0.1</v>
      </c>
      <c r="C14" s="70">
        <v>417.5</v>
      </c>
      <c r="D14" s="70">
        <v>494.25</v>
      </c>
      <c r="E14" s="71">
        <f t="shared" si="1"/>
        <v>0.1838323353293414</v>
      </c>
      <c r="F14" s="71">
        <f t="shared" si="0"/>
        <v>1.838323353293414E-2</v>
      </c>
    </row>
    <row r="15" spans="1:6" ht="14.25" customHeight="1" x14ac:dyDescent="0.3">
      <c r="A15" s="68" t="s">
        <v>224</v>
      </c>
      <c r="B15" s="69">
        <v>0.15</v>
      </c>
      <c r="C15" s="70">
        <v>6.2275</v>
      </c>
      <c r="D15" s="70">
        <v>6.4664999999999999</v>
      </c>
      <c r="E15" s="71">
        <f t="shared" si="1"/>
        <v>3.8378161380971498E-2</v>
      </c>
      <c r="F15" s="71">
        <f t="shared" si="0"/>
        <v>5.7567242071457246E-3</v>
      </c>
    </row>
    <row r="16" spans="1:6" ht="14.25" customHeight="1" x14ac:dyDescent="0.3">
      <c r="A16" s="68" t="s">
        <v>225</v>
      </c>
      <c r="B16" s="69">
        <v>0.2</v>
      </c>
      <c r="C16" s="70">
        <v>4110.2</v>
      </c>
      <c r="D16" s="70">
        <v>4265</v>
      </c>
      <c r="E16" s="71">
        <f t="shared" si="1"/>
        <v>3.7662400856406153E-2</v>
      </c>
      <c r="F16" s="71">
        <f t="shared" si="0"/>
        <v>7.5324801712812308E-3</v>
      </c>
    </row>
    <row r="17" spans="1:6" ht="14.25" customHeight="1" x14ac:dyDescent="0.3">
      <c r="A17" s="68" t="s">
        <v>226</v>
      </c>
      <c r="B17" s="69">
        <v>0.05</v>
      </c>
      <c r="C17" s="70">
        <v>13.92</v>
      </c>
      <c r="D17" s="70">
        <v>15.07</v>
      </c>
      <c r="E17" s="71">
        <f t="shared" si="1"/>
        <v>8.2614942528735691E-2</v>
      </c>
      <c r="F17" s="71">
        <f t="shared" si="0"/>
        <v>4.1307471264367844E-3</v>
      </c>
    </row>
    <row r="18" spans="1:6" ht="14.25" customHeight="1" x14ac:dyDescent="0.3">
      <c r="A18" s="68" t="s">
        <v>227</v>
      </c>
      <c r="B18" s="69">
        <v>0.05</v>
      </c>
      <c r="C18" s="70">
        <v>2.484</v>
      </c>
      <c r="D18" s="70">
        <v>2.3544999999999998</v>
      </c>
      <c r="E18" s="71">
        <f t="shared" si="1"/>
        <v>-5.213365539452508E-2</v>
      </c>
      <c r="F18" s="71">
        <f t="shared" si="0"/>
        <v>-2.606682769726254E-3</v>
      </c>
    </row>
    <row r="19" spans="1:6" ht="14.25" customHeight="1" x14ac:dyDescent="0.3">
      <c r="A19" s="68" t="s">
        <v>228</v>
      </c>
      <c r="B19" s="69">
        <v>0.05</v>
      </c>
      <c r="C19" s="70">
        <v>241.77500000000001</v>
      </c>
      <c r="D19" s="70">
        <v>225.97499999999999</v>
      </c>
      <c r="E19" s="71">
        <f t="shared" si="1"/>
        <v>-6.5350015510288517E-2</v>
      </c>
      <c r="F19" s="71">
        <f t="shared" si="0"/>
        <v>-3.2675007755144261E-3</v>
      </c>
    </row>
    <row r="20" spans="1:6" ht="14.25" customHeight="1" x14ac:dyDescent="0.3">
      <c r="A20" s="72" t="s">
        <v>229</v>
      </c>
      <c r="B20" s="73">
        <f>SUM(B12:B19)</f>
        <v>1.0000000000000002</v>
      </c>
      <c r="C20" s="34"/>
      <c r="D20" s="34"/>
      <c r="E20" s="34"/>
      <c r="F20" s="74">
        <f>SUM(F12:F19)</f>
        <v>3.2768108766351951E-2</v>
      </c>
    </row>
    <row r="21" spans="1:6" ht="14.25" customHeight="1" x14ac:dyDescent="0.3">
      <c r="A21" s="38" t="s">
        <v>230</v>
      </c>
      <c r="B21" s="34"/>
      <c r="C21" s="34"/>
      <c r="D21" s="34"/>
      <c r="E21" s="34"/>
      <c r="F21" s="34"/>
    </row>
    <row r="22" spans="1:6" ht="14.25" customHeight="1" x14ac:dyDescent="0.3">
      <c r="A22" s="39" t="s">
        <v>231</v>
      </c>
      <c r="B22" s="34"/>
      <c r="C22" s="34"/>
      <c r="D22" s="34"/>
      <c r="E22" s="34"/>
      <c r="F22" s="34"/>
    </row>
    <row r="23" spans="1:6" ht="14.25" customHeight="1" x14ac:dyDescent="0.3">
      <c r="A23" s="39" t="s">
        <v>232</v>
      </c>
      <c r="B23" s="34"/>
      <c r="C23" s="34"/>
      <c r="D23" s="34"/>
      <c r="E23" s="34"/>
      <c r="F23" s="34"/>
    </row>
    <row r="24" spans="1:6" ht="14.25" customHeight="1" x14ac:dyDescent="0.3">
      <c r="A24" s="34"/>
      <c r="B24" s="34"/>
      <c r="C24" s="34"/>
      <c r="D24" s="34"/>
      <c r="E24" s="34"/>
      <c r="F24" s="34"/>
    </row>
    <row r="25" spans="1:6" ht="14.25" customHeight="1" x14ac:dyDescent="0.3">
      <c r="A25" s="37" t="s">
        <v>233</v>
      </c>
      <c r="B25" s="34"/>
      <c r="C25" s="34"/>
      <c r="D25" s="34"/>
      <c r="E25" s="34"/>
      <c r="F25" s="34"/>
    </row>
    <row r="26" spans="1:6" ht="26.25" customHeight="1" x14ac:dyDescent="0.3">
      <c r="A26" s="40" t="s">
        <v>234</v>
      </c>
      <c r="B26" s="41" t="s">
        <v>132</v>
      </c>
      <c r="C26" s="41" t="s">
        <v>207</v>
      </c>
      <c r="D26" s="41" t="s">
        <v>235</v>
      </c>
      <c r="E26" s="34"/>
      <c r="F26" s="34"/>
    </row>
    <row r="27" spans="1:6" ht="14.25" customHeight="1" x14ac:dyDescent="0.3">
      <c r="A27" s="68" t="s">
        <v>236</v>
      </c>
      <c r="B27" s="69">
        <v>0.68</v>
      </c>
      <c r="C27" s="71">
        <f>$B$8</f>
        <v>3.5000000000000003E-2</v>
      </c>
      <c r="D27" s="71">
        <f>B27*C27</f>
        <v>2.3800000000000005E-2</v>
      </c>
      <c r="E27" s="34"/>
      <c r="F27" s="34"/>
    </row>
    <row r="28" spans="1:6" ht="14.25" customHeight="1" x14ac:dyDescent="0.3">
      <c r="A28" s="68" t="s">
        <v>237</v>
      </c>
      <c r="B28" s="69">
        <v>0.32</v>
      </c>
      <c r="C28" s="71">
        <f>$F$20</f>
        <v>3.2768108766351951E-2</v>
      </c>
      <c r="D28" s="71">
        <f>B28*C28</f>
        <v>1.0485794805232625E-2</v>
      </c>
      <c r="E28" s="34"/>
      <c r="F28" s="34"/>
    </row>
    <row r="29" spans="1:6" ht="14.25" customHeight="1" x14ac:dyDescent="0.3">
      <c r="A29" s="58" t="s">
        <v>238</v>
      </c>
      <c r="B29" s="73">
        <f>SUM(B27:B28)</f>
        <v>1</v>
      </c>
      <c r="C29" s="34"/>
      <c r="D29" s="74">
        <f>SUM(D27:D28)</f>
        <v>3.4285794805232632E-2</v>
      </c>
      <c r="E29" s="34"/>
      <c r="F29" s="34"/>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3"/>
  <sheetViews>
    <sheetView zoomScaleNormal="100" workbookViewId="0">
      <pane ySplit="4" topLeftCell="A5" activePane="bottomLeft" state="frozen"/>
      <selection pane="bottomLeft"/>
    </sheetView>
  </sheetViews>
  <sheetFormatPr defaultColWidth="8.6328125" defaultRowHeight="14.5" x14ac:dyDescent="0.35"/>
  <cols>
    <col min="1" max="1" width="12" customWidth="1"/>
    <col min="2" max="3" width="18" customWidth="1"/>
    <col min="4" max="4" width="20" customWidth="1"/>
    <col min="5" max="6" width="18" customWidth="1"/>
    <col min="7" max="7" width="20" customWidth="1"/>
  </cols>
  <sheetData>
    <row r="1" spans="1:7" ht="18" customHeight="1" x14ac:dyDescent="0.4">
      <c r="A1" s="8" t="s">
        <v>31</v>
      </c>
      <c r="B1" s="1"/>
      <c r="C1" s="1"/>
      <c r="D1" s="1"/>
      <c r="E1" s="1"/>
      <c r="F1" s="1"/>
      <c r="G1" s="1"/>
    </row>
    <row r="2" spans="1:7" ht="14.25" customHeight="1" x14ac:dyDescent="0.35">
      <c r="A2" s="7" t="s">
        <v>239</v>
      </c>
      <c r="B2" s="1"/>
      <c r="C2" s="1"/>
      <c r="D2" s="1"/>
      <c r="E2" s="1"/>
      <c r="F2" s="1"/>
      <c r="G2" s="1"/>
    </row>
    <row r="3" spans="1:7" ht="14.25" customHeight="1" x14ac:dyDescent="0.35">
      <c r="A3" s="1"/>
      <c r="B3" s="1"/>
      <c r="C3" s="1"/>
      <c r="D3" s="1"/>
      <c r="E3" s="1"/>
      <c r="F3" s="1"/>
      <c r="G3" s="1"/>
    </row>
    <row r="4" spans="1:7" ht="14.25" customHeight="1" x14ac:dyDescent="0.35">
      <c r="A4" s="5" t="s">
        <v>240</v>
      </c>
      <c r="B4" s="6" t="s">
        <v>241</v>
      </c>
      <c r="C4" s="6" t="s">
        <v>242</v>
      </c>
      <c r="D4" s="6" t="s">
        <v>243</v>
      </c>
      <c r="E4" s="6" t="s">
        <v>244</v>
      </c>
      <c r="F4" s="6" t="s">
        <v>245</v>
      </c>
      <c r="G4" s="6" t="s">
        <v>246</v>
      </c>
    </row>
    <row r="5" spans="1:7" ht="14.25" customHeight="1" x14ac:dyDescent="0.35">
      <c r="A5" s="24" t="s">
        <v>247</v>
      </c>
      <c r="B5" s="25">
        <v>3282.2829999999999</v>
      </c>
      <c r="C5" s="25">
        <v>3187.915</v>
      </c>
      <c r="D5" s="25">
        <v>-526.43200000000002</v>
      </c>
      <c r="E5" s="26">
        <f t="shared" ref="E5:E44" si="0">B5</f>
        <v>3282.2829999999999</v>
      </c>
      <c r="F5" s="26">
        <f t="shared" ref="F5:F44" si="1">C5</f>
        <v>3187.915</v>
      </c>
      <c r="G5" s="26">
        <f t="shared" ref="G5:G44" si="2">D5</f>
        <v>-526.43200000000002</v>
      </c>
    </row>
    <row r="6" spans="1:7" ht="14.25" customHeight="1" x14ac:dyDescent="0.35">
      <c r="A6" s="24" t="s">
        <v>248</v>
      </c>
      <c r="B6" s="25">
        <v>3291.1039999999998</v>
      </c>
      <c r="C6" s="25">
        <v>3234.067</v>
      </c>
      <c r="D6" s="25">
        <v>-509.52699999999999</v>
      </c>
      <c r="E6" s="26">
        <f t="shared" si="0"/>
        <v>3291.1039999999998</v>
      </c>
      <c r="F6" s="26">
        <f t="shared" si="1"/>
        <v>3234.067</v>
      </c>
      <c r="G6" s="26">
        <f t="shared" si="2"/>
        <v>-509.52699999999999</v>
      </c>
    </row>
    <row r="7" spans="1:7" ht="14.25" customHeight="1" x14ac:dyDescent="0.35">
      <c r="A7" s="24" t="s">
        <v>249</v>
      </c>
      <c r="B7" s="25">
        <v>3303.66</v>
      </c>
      <c r="C7" s="25">
        <v>3253.5540000000001</v>
      </c>
      <c r="D7" s="25">
        <v>-538.08199999999999</v>
      </c>
      <c r="E7" s="26">
        <f t="shared" si="0"/>
        <v>3303.66</v>
      </c>
      <c r="F7" s="26">
        <f t="shared" si="1"/>
        <v>3253.5540000000001</v>
      </c>
      <c r="G7" s="26">
        <f t="shared" si="2"/>
        <v>-538.08199999999999</v>
      </c>
    </row>
    <row r="8" spans="1:7" ht="14.25" customHeight="1" x14ac:dyDescent="0.35">
      <c r="A8" s="24" t="s">
        <v>250</v>
      </c>
      <c r="B8" s="25">
        <v>3276.8789999999999</v>
      </c>
      <c r="C8" s="25">
        <v>3258.1419999999998</v>
      </c>
      <c r="D8" s="25">
        <v>-523.23800000000006</v>
      </c>
      <c r="E8" s="26">
        <f t="shared" si="0"/>
        <v>3276.8789999999999</v>
      </c>
      <c r="F8" s="26">
        <f t="shared" si="1"/>
        <v>3258.1419999999998</v>
      </c>
      <c r="G8" s="26">
        <f t="shared" si="2"/>
        <v>-523.23800000000006</v>
      </c>
    </row>
    <row r="9" spans="1:7" ht="14.25" customHeight="1" x14ac:dyDescent="0.35">
      <c r="A9" s="24" t="s">
        <v>251</v>
      </c>
      <c r="B9" s="25">
        <v>3244.317</v>
      </c>
      <c r="C9" s="25">
        <v>3270.1410000000001</v>
      </c>
      <c r="D9" s="25">
        <v>-511.68200000000002</v>
      </c>
      <c r="E9" s="26">
        <f t="shared" si="0"/>
        <v>3244.317</v>
      </c>
      <c r="F9" s="26">
        <f t="shared" si="1"/>
        <v>3270.1410000000001</v>
      </c>
      <c r="G9" s="26">
        <f t="shared" si="2"/>
        <v>-511.68200000000002</v>
      </c>
    </row>
    <row r="10" spans="1:7" ht="14.25" customHeight="1" x14ac:dyDescent="0.35">
      <c r="A10" s="24" t="s">
        <v>252</v>
      </c>
      <c r="B10" s="25">
        <v>3246.3809999999999</v>
      </c>
      <c r="C10" s="25">
        <v>3289.5659999999998</v>
      </c>
      <c r="D10" s="25">
        <v>-489.37</v>
      </c>
      <c r="E10" s="26">
        <f t="shared" si="0"/>
        <v>3246.3809999999999</v>
      </c>
      <c r="F10" s="26">
        <f t="shared" si="1"/>
        <v>3289.5659999999998</v>
      </c>
      <c r="G10" s="26">
        <f t="shared" si="2"/>
        <v>-489.37</v>
      </c>
    </row>
    <row r="11" spans="1:7" ht="14.25" customHeight="1" x14ac:dyDescent="0.35">
      <c r="A11" s="24" t="s">
        <v>253</v>
      </c>
      <c r="B11" s="25">
        <v>3261.5709999999999</v>
      </c>
      <c r="C11" s="25">
        <v>3315.1709999999998</v>
      </c>
      <c r="D11" s="25">
        <v>-481.22899999999998</v>
      </c>
      <c r="E11" s="26">
        <f t="shared" si="0"/>
        <v>3261.5709999999999</v>
      </c>
      <c r="F11" s="26">
        <f t="shared" si="1"/>
        <v>3315.1709999999998</v>
      </c>
      <c r="G11" s="26">
        <f t="shared" si="2"/>
        <v>-481.22899999999998</v>
      </c>
    </row>
    <row r="12" spans="1:7" ht="14.25" customHeight="1" x14ac:dyDescent="0.35">
      <c r="A12" s="24" t="s">
        <v>254</v>
      </c>
      <c r="B12" s="25">
        <v>3360.9520000000002</v>
      </c>
      <c r="C12" s="25">
        <v>3337.2449999999999</v>
      </c>
      <c r="D12" s="25">
        <v>-530.80600000000004</v>
      </c>
      <c r="E12" s="26">
        <f t="shared" si="0"/>
        <v>3360.9520000000002</v>
      </c>
      <c r="F12" s="26">
        <f t="shared" si="1"/>
        <v>3337.2449999999999</v>
      </c>
      <c r="G12" s="26">
        <f t="shared" si="2"/>
        <v>-530.80600000000004</v>
      </c>
    </row>
    <row r="13" spans="1:7" ht="14.25" customHeight="1" x14ac:dyDescent="0.35">
      <c r="A13" s="24" t="s">
        <v>255</v>
      </c>
      <c r="B13" s="25">
        <v>3363.1010000000001</v>
      </c>
      <c r="C13" s="25">
        <v>3353.096</v>
      </c>
      <c r="D13" s="25">
        <v>-533.41999999999996</v>
      </c>
      <c r="E13" s="26">
        <f t="shared" si="0"/>
        <v>3363.1010000000001</v>
      </c>
      <c r="F13" s="26">
        <f t="shared" si="1"/>
        <v>3353.096</v>
      </c>
      <c r="G13" s="26">
        <f t="shared" si="2"/>
        <v>-533.41999999999996</v>
      </c>
    </row>
    <row r="14" spans="1:7" ht="14.25" customHeight="1" x14ac:dyDescent="0.35">
      <c r="A14" s="24" t="s">
        <v>256</v>
      </c>
      <c r="B14" s="25">
        <v>3432.9679999999998</v>
      </c>
      <c r="C14" s="25">
        <v>3370.444</v>
      </c>
      <c r="D14" s="25">
        <v>-553.49900000000002</v>
      </c>
      <c r="E14" s="26">
        <f t="shared" si="0"/>
        <v>3432.9679999999998</v>
      </c>
      <c r="F14" s="26">
        <f t="shared" si="1"/>
        <v>3370.444</v>
      </c>
      <c r="G14" s="26">
        <f t="shared" si="2"/>
        <v>-553.49900000000002</v>
      </c>
    </row>
    <row r="15" spans="1:7" ht="14.25" customHeight="1" x14ac:dyDescent="0.35">
      <c r="A15" s="24" t="s">
        <v>257</v>
      </c>
      <c r="B15" s="25">
        <v>3500.1419999999998</v>
      </c>
      <c r="C15" s="25">
        <v>3398.886</v>
      </c>
      <c r="D15" s="25">
        <v>-531.49800000000005</v>
      </c>
      <c r="E15" s="26">
        <f t="shared" si="0"/>
        <v>3500.1419999999998</v>
      </c>
      <c r="F15" s="26">
        <f t="shared" si="1"/>
        <v>3398.886</v>
      </c>
      <c r="G15" s="26">
        <f t="shared" si="2"/>
        <v>-531.49800000000005</v>
      </c>
    </row>
    <row r="16" spans="1:7" ht="14.25" customHeight="1" x14ac:dyDescent="0.35">
      <c r="A16" s="24" t="s">
        <v>258</v>
      </c>
      <c r="B16" s="25">
        <v>3574.4459999999999</v>
      </c>
      <c r="C16" s="25">
        <v>3466.1370000000002</v>
      </c>
      <c r="D16" s="25">
        <v>-554.89700000000005</v>
      </c>
      <c r="E16" s="26">
        <f t="shared" si="0"/>
        <v>3574.4459999999999</v>
      </c>
      <c r="F16" s="26">
        <f t="shared" si="1"/>
        <v>3466.1370000000002</v>
      </c>
      <c r="G16" s="26">
        <f t="shared" si="2"/>
        <v>-554.89700000000005</v>
      </c>
    </row>
    <row r="17" spans="1:7" ht="14.25" customHeight="1" x14ac:dyDescent="0.35">
      <c r="A17" s="24" t="s">
        <v>259</v>
      </c>
      <c r="B17" s="25">
        <v>3645.6350000000002</v>
      </c>
      <c r="C17" s="25">
        <v>3513.8760000000002</v>
      </c>
      <c r="D17" s="25">
        <v>-576.03099999999995</v>
      </c>
      <c r="E17" s="26">
        <f t="shared" si="0"/>
        <v>3645.6350000000002</v>
      </c>
      <c r="F17" s="26">
        <f t="shared" si="1"/>
        <v>3513.8760000000002</v>
      </c>
      <c r="G17" s="26">
        <f t="shared" si="2"/>
        <v>-576.03099999999995</v>
      </c>
    </row>
    <row r="18" spans="1:7" ht="14.25" customHeight="1" x14ac:dyDescent="0.35">
      <c r="A18" s="24" t="s">
        <v>260</v>
      </c>
      <c r="B18" s="25">
        <v>3662.7269999999999</v>
      </c>
      <c r="C18" s="25">
        <v>3570.7150000000001</v>
      </c>
      <c r="D18" s="25">
        <v>-543.82299999999998</v>
      </c>
      <c r="E18" s="26">
        <f t="shared" si="0"/>
        <v>3662.7269999999999</v>
      </c>
      <c r="F18" s="26">
        <f t="shared" si="1"/>
        <v>3570.7150000000001</v>
      </c>
      <c r="G18" s="26">
        <f t="shared" si="2"/>
        <v>-543.82299999999998</v>
      </c>
    </row>
    <row r="19" spans="1:7" ht="14.25" customHeight="1" x14ac:dyDescent="0.35">
      <c r="A19" s="24" t="s">
        <v>261</v>
      </c>
      <c r="B19" s="25">
        <v>3788.692</v>
      </c>
      <c r="C19" s="25">
        <v>3626.0859999999998</v>
      </c>
      <c r="D19" s="25">
        <v>-618.24599999999998</v>
      </c>
      <c r="E19" s="26">
        <f t="shared" si="0"/>
        <v>3788.692</v>
      </c>
      <c r="F19" s="26">
        <f t="shared" si="1"/>
        <v>3626.0859999999998</v>
      </c>
      <c r="G19" s="26">
        <f t="shared" si="2"/>
        <v>-618.24599999999998</v>
      </c>
    </row>
    <row r="20" spans="1:7" ht="14.25" customHeight="1" x14ac:dyDescent="0.35">
      <c r="A20" s="24" t="s">
        <v>262</v>
      </c>
      <c r="B20" s="25">
        <v>3802.0279999999998</v>
      </c>
      <c r="C20" s="25">
        <v>3650.8470000000002</v>
      </c>
      <c r="D20" s="25">
        <v>-634.20699999999999</v>
      </c>
      <c r="E20" s="26">
        <f t="shared" si="0"/>
        <v>3802.0279999999998</v>
      </c>
      <c r="F20" s="26">
        <f t="shared" si="1"/>
        <v>3650.8470000000002</v>
      </c>
      <c r="G20" s="26">
        <f t="shared" si="2"/>
        <v>-634.20699999999999</v>
      </c>
    </row>
    <row r="21" spans="1:7" ht="14.25" customHeight="1" x14ac:dyDescent="0.35">
      <c r="A21" s="24" t="s">
        <v>263</v>
      </c>
      <c r="B21" s="25">
        <v>3850.77</v>
      </c>
      <c r="C21" s="25">
        <v>3702.9340000000002</v>
      </c>
      <c r="D21" s="25">
        <v>-592.29399999999998</v>
      </c>
      <c r="E21" s="26">
        <f t="shared" si="0"/>
        <v>3850.77</v>
      </c>
      <c r="F21" s="26">
        <f t="shared" si="1"/>
        <v>3702.9340000000002</v>
      </c>
      <c r="G21" s="26">
        <f t="shared" si="2"/>
        <v>-592.29399999999998</v>
      </c>
    </row>
    <row r="22" spans="1:7" ht="14.25" customHeight="1" x14ac:dyDescent="0.35">
      <c r="A22" s="24" t="s">
        <v>264</v>
      </c>
      <c r="B22" s="25">
        <v>3903.9960000000001</v>
      </c>
      <c r="C22" s="25">
        <v>3761.2429999999999</v>
      </c>
      <c r="D22" s="25">
        <v>-617.96199999999999</v>
      </c>
      <c r="E22" s="26">
        <f t="shared" si="0"/>
        <v>3903.9960000000001</v>
      </c>
      <c r="F22" s="26">
        <f t="shared" si="1"/>
        <v>3761.2429999999999</v>
      </c>
      <c r="G22" s="26">
        <f t="shared" si="2"/>
        <v>-617.96199999999999</v>
      </c>
    </row>
    <row r="23" spans="1:7" ht="14.25" customHeight="1" x14ac:dyDescent="0.35">
      <c r="A23" s="24" t="s">
        <v>265</v>
      </c>
      <c r="B23" s="25">
        <v>3939.5990000000002</v>
      </c>
      <c r="C23" s="25">
        <v>3814.837</v>
      </c>
      <c r="D23" s="25">
        <v>-585.54700000000003</v>
      </c>
      <c r="E23" s="26">
        <f t="shared" si="0"/>
        <v>3939.5990000000002</v>
      </c>
      <c r="F23" s="26">
        <f t="shared" si="1"/>
        <v>3814.837</v>
      </c>
      <c r="G23" s="26">
        <f t="shared" si="2"/>
        <v>-585.54700000000003</v>
      </c>
    </row>
    <row r="24" spans="1:7" ht="14.25" customHeight="1" x14ac:dyDescent="0.35">
      <c r="A24" s="24" t="s">
        <v>266</v>
      </c>
      <c r="B24" s="25">
        <v>3880.57</v>
      </c>
      <c r="C24" s="25">
        <v>3864.9679999999998</v>
      </c>
      <c r="D24" s="25">
        <v>-513.35900000000004</v>
      </c>
      <c r="E24" s="26">
        <f t="shared" si="0"/>
        <v>3880.57</v>
      </c>
      <c r="F24" s="26">
        <f t="shared" si="1"/>
        <v>3864.9679999999998</v>
      </c>
      <c r="G24" s="26">
        <f t="shared" si="2"/>
        <v>-513.35900000000004</v>
      </c>
    </row>
    <row r="25" spans="1:7" ht="14.25" customHeight="1" x14ac:dyDescent="0.35">
      <c r="A25" s="24" t="s">
        <v>267</v>
      </c>
      <c r="B25" s="25">
        <v>3807.7</v>
      </c>
      <c r="C25" s="25">
        <v>3942.0360000000001</v>
      </c>
      <c r="D25" s="25">
        <v>-501.596</v>
      </c>
      <c r="E25" s="26">
        <f t="shared" si="0"/>
        <v>3807.7</v>
      </c>
      <c r="F25" s="26">
        <f t="shared" si="1"/>
        <v>3942.0360000000001</v>
      </c>
      <c r="G25" s="26">
        <f t="shared" si="2"/>
        <v>-501.596</v>
      </c>
    </row>
    <row r="26" spans="1:7" ht="14.25" customHeight="1" x14ac:dyDescent="0.35">
      <c r="A26" s="24" t="s">
        <v>268</v>
      </c>
      <c r="B26" s="25">
        <v>3270.1869999999999</v>
      </c>
      <c r="C26" s="25">
        <v>4021.6990000000001</v>
      </c>
      <c r="D26" s="25">
        <v>-526.89200000000005</v>
      </c>
      <c r="E26" s="26">
        <f t="shared" si="0"/>
        <v>3270.1869999999999</v>
      </c>
      <c r="F26" s="26">
        <f t="shared" si="1"/>
        <v>4021.6990000000001</v>
      </c>
      <c r="G26" s="26">
        <f t="shared" si="2"/>
        <v>-526.89200000000005</v>
      </c>
    </row>
    <row r="27" spans="1:7" ht="14.25" customHeight="1" x14ac:dyDescent="0.35">
      <c r="A27" s="24" t="s">
        <v>269</v>
      </c>
      <c r="B27" s="25">
        <v>3911.0039999999999</v>
      </c>
      <c r="C27" s="25">
        <v>4001.8440000000001</v>
      </c>
      <c r="D27" s="25">
        <v>-687.61599999999999</v>
      </c>
      <c r="E27" s="26">
        <f t="shared" si="0"/>
        <v>3911.0039999999999</v>
      </c>
      <c r="F27" s="26">
        <f t="shared" si="1"/>
        <v>4001.8440000000001</v>
      </c>
      <c r="G27" s="26">
        <f t="shared" si="2"/>
        <v>-687.61599999999999</v>
      </c>
    </row>
    <row r="28" spans="1:7" ht="14.25" customHeight="1" x14ac:dyDescent="0.35">
      <c r="A28" s="24" t="s">
        <v>270</v>
      </c>
      <c r="B28" s="25">
        <v>4064.6550000000002</v>
      </c>
      <c r="C28" s="25">
        <v>4030.8040000000001</v>
      </c>
      <c r="D28" s="25">
        <v>-758.11099999999999</v>
      </c>
      <c r="E28" s="26">
        <f t="shared" si="0"/>
        <v>4064.6550000000002</v>
      </c>
      <c r="F28" s="26">
        <f t="shared" si="1"/>
        <v>4030.8040000000001</v>
      </c>
      <c r="G28" s="26">
        <f t="shared" si="2"/>
        <v>-758.11099999999999</v>
      </c>
    </row>
    <row r="29" spans="1:7" ht="14.25" customHeight="1" x14ac:dyDescent="0.35">
      <c r="A29" s="24" t="s">
        <v>271</v>
      </c>
      <c r="B29" s="25">
        <v>4058.9430000000002</v>
      </c>
      <c r="C29" s="25">
        <v>4155.3879999999999</v>
      </c>
      <c r="D29" s="25">
        <v>-789.04899999999998</v>
      </c>
      <c r="E29" s="26">
        <f t="shared" si="0"/>
        <v>4058.9430000000002</v>
      </c>
      <c r="F29" s="26">
        <f t="shared" si="1"/>
        <v>4155.3879999999999</v>
      </c>
      <c r="G29" s="26">
        <f t="shared" si="2"/>
        <v>-789.04899999999998</v>
      </c>
    </row>
    <row r="30" spans="1:7" ht="14.25" customHeight="1" x14ac:dyDescent="0.35">
      <c r="A30" s="24" t="s">
        <v>272</v>
      </c>
      <c r="B30" s="25">
        <v>4049.6669999999999</v>
      </c>
      <c r="C30" s="25">
        <v>4174.2929999999997</v>
      </c>
      <c r="D30" s="25">
        <v>-825.62</v>
      </c>
      <c r="E30" s="26">
        <f t="shared" si="0"/>
        <v>4049.6669999999999</v>
      </c>
      <c r="F30" s="26">
        <f t="shared" si="1"/>
        <v>4174.2929999999997</v>
      </c>
      <c r="G30" s="26">
        <f t="shared" si="2"/>
        <v>-825.62</v>
      </c>
    </row>
    <row r="31" spans="1:7" ht="14.25" customHeight="1" x14ac:dyDescent="0.35">
      <c r="A31" s="24" t="s">
        <v>273</v>
      </c>
      <c r="B31" s="25">
        <v>4255.2629999999999</v>
      </c>
      <c r="C31" s="25">
        <v>4219.8649999999998</v>
      </c>
      <c r="D31" s="25">
        <v>-873.47900000000004</v>
      </c>
      <c r="E31" s="26">
        <f t="shared" si="0"/>
        <v>4255.2629999999999</v>
      </c>
      <c r="F31" s="26">
        <f t="shared" si="1"/>
        <v>4219.8649999999998</v>
      </c>
      <c r="G31" s="26">
        <f t="shared" si="2"/>
        <v>-873.47900000000004</v>
      </c>
    </row>
    <row r="32" spans="1:7" ht="14.25" customHeight="1" x14ac:dyDescent="0.35">
      <c r="A32" s="24" t="s">
        <v>274</v>
      </c>
      <c r="B32" s="25">
        <v>4622.3059999999996</v>
      </c>
      <c r="C32" s="25">
        <v>4285.0619999999999</v>
      </c>
      <c r="D32" s="25">
        <v>-908.78499999999997</v>
      </c>
      <c r="E32" s="26">
        <f t="shared" si="0"/>
        <v>4622.3059999999996</v>
      </c>
      <c r="F32" s="26">
        <f t="shared" si="1"/>
        <v>4285.0619999999999</v>
      </c>
      <c r="G32" s="26">
        <f t="shared" si="2"/>
        <v>-908.78499999999997</v>
      </c>
    </row>
    <row r="33" spans="1:7" ht="14.25" customHeight="1" x14ac:dyDescent="0.35">
      <c r="A33" s="24" t="s">
        <v>275</v>
      </c>
      <c r="B33" s="25">
        <v>4814.2939999999999</v>
      </c>
      <c r="C33" s="25">
        <v>4336.2269999999999</v>
      </c>
      <c r="D33" s="25">
        <v>-1049.17</v>
      </c>
      <c r="E33" s="26">
        <f t="shared" si="0"/>
        <v>4814.2939999999999</v>
      </c>
      <c r="F33" s="26">
        <f t="shared" si="1"/>
        <v>4336.2269999999999</v>
      </c>
      <c r="G33" s="26">
        <f t="shared" si="2"/>
        <v>-1049.17</v>
      </c>
    </row>
    <row r="34" spans="1:7" ht="14.25" customHeight="1" x14ac:dyDescent="0.35">
      <c r="A34" s="24" t="s">
        <v>276</v>
      </c>
      <c r="B34" s="25">
        <v>4811.5129999999999</v>
      </c>
      <c r="C34" s="25">
        <v>4439.375</v>
      </c>
      <c r="D34" s="25">
        <v>-996.17</v>
      </c>
      <c r="E34" s="26">
        <f t="shared" si="0"/>
        <v>4811.5129999999999</v>
      </c>
      <c r="F34" s="26">
        <f t="shared" si="1"/>
        <v>4439.375</v>
      </c>
      <c r="G34" s="26">
        <f t="shared" si="2"/>
        <v>-996.17</v>
      </c>
    </row>
    <row r="35" spans="1:7" ht="14.25" customHeight="1" x14ac:dyDescent="0.35">
      <c r="A35" s="24" t="s">
        <v>277</v>
      </c>
      <c r="B35" s="25">
        <v>4812.308</v>
      </c>
      <c r="C35" s="25">
        <v>4486.473</v>
      </c>
      <c r="D35" s="25">
        <v>-855.6</v>
      </c>
      <c r="E35" s="26">
        <f t="shared" si="0"/>
        <v>4812.308</v>
      </c>
      <c r="F35" s="26">
        <f t="shared" si="1"/>
        <v>4486.473</v>
      </c>
      <c r="G35" s="26">
        <f t="shared" si="2"/>
        <v>-855.6</v>
      </c>
    </row>
    <row r="36" spans="1:7" ht="14.25" customHeight="1" x14ac:dyDescent="0.35">
      <c r="A36" s="24" t="s">
        <v>278</v>
      </c>
      <c r="B36" s="25">
        <v>4939.2169999999996</v>
      </c>
      <c r="C36" s="25">
        <v>4570.5519999999997</v>
      </c>
      <c r="D36" s="25">
        <v>-850.61599999999999</v>
      </c>
      <c r="E36" s="26">
        <f t="shared" si="0"/>
        <v>4939.2169999999996</v>
      </c>
      <c r="F36" s="26">
        <f t="shared" si="1"/>
        <v>4570.5519999999997</v>
      </c>
      <c r="G36" s="26">
        <f t="shared" si="2"/>
        <v>-850.61599999999999</v>
      </c>
    </row>
    <row r="37" spans="1:7" ht="14.25" customHeight="1" x14ac:dyDescent="0.35">
      <c r="A37" s="24" t="s">
        <v>279</v>
      </c>
      <c r="B37" s="25">
        <v>4883.84</v>
      </c>
      <c r="C37" s="25">
        <v>4640.4979999999996</v>
      </c>
      <c r="D37" s="25">
        <v>-794.91700000000003</v>
      </c>
      <c r="E37" s="26">
        <f t="shared" si="0"/>
        <v>4883.84</v>
      </c>
      <c r="F37" s="26">
        <f t="shared" si="1"/>
        <v>4640.4979999999996</v>
      </c>
      <c r="G37" s="26">
        <f t="shared" si="2"/>
        <v>-794.91700000000003</v>
      </c>
    </row>
    <row r="38" spans="1:7" ht="14.25" customHeight="1" x14ac:dyDescent="0.35">
      <c r="A38" s="24" t="s">
        <v>280</v>
      </c>
      <c r="B38" s="25">
        <v>4961.0519999999997</v>
      </c>
      <c r="C38" s="25">
        <v>4673.3599999999997</v>
      </c>
      <c r="D38" s="25">
        <v>-797.48599999999999</v>
      </c>
      <c r="E38" s="26">
        <f t="shared" si="0"/>
        <v>4961.0519999999997</v>
      </c>
      <c r="F38" s="26">
        <f t="shared" si="1"/>
        <v>4673.3599999999997</v>
      </c>
      <c r="G38" s="26">
        <f t="shared" si="2"/>
        <v>-797.48599999999999</v>
      </c>
    </row>
    <row r="39" spans="1:7" ht="14.25" customHeight="1" x14ac:dyDescent="0.35">
      <c r="A39" s="24" t="s">
        <v>281</v>
      </c>
      <c r="B39" s="25">
        <v>5088.8</v>
      </c>
      <c r="C39" s="25">
        <v>4789.7330000000002</v>
      </c>
      <c r="D39" s="25">
        <v>-765.53499999999997</v>
      </c>
      <c r="E39" s="26">
        <f t="shared" si="0"/>
        <v>5088.8</v>
      </c>
      <c r="F39" s="26">
        <f t="shared" si="1"/>
        <v>4789.7330000000002</v>
      </c>
      <c r="G39" s="26">
        <f t="shared" si="2"/>
        <v>-765.53499999999997</v>
      </c>
    </row>
    <row r="40" spans="1:7" ht="14.25" customHeight="1" x14ac:dyDescent="0.35">
      <c r="A40" s="24" t="s">
        <v>282</v>
      </c>
      <c r="B40" s="25">
        <v>5161.1540000000005</v>
      </c>
      <c r="C40" s="25">
        <v>4861.0129999999999</v>
      </c>
      <c r="D40" s="25">
        <v>-788.04399999999998</v>
      </c>
      <c r="E40" s="26">
        <f t="shared" si="0"/>
        <v>5161.1540000000005</v>
      </c>
      <c r="F40" s="26">
        <f t="shared" si="1"/>
        <v>4861.0129999999999</v>
      </c>
      <c r="G40" s="26">
        <f t="shared" si="2"/>
        <v>-788.04399999999998</v>
      </c>
    </row>
    <row r="41" spans="1:7" ht="14.25" customHeight="1" x14ac:dyDescent="0.35">
      <c r="A41" s="24" t="s">
        <v>283</v>
      </c>
      <c r="B41" s="25">
        <v>5155.0290000000005</v>
      </c>
      <c r="C41" s="25">
        <v>4931.777</v>
      </c>
      <c r="D41" s="25">
        <v>-822.47799999999995</v>
      </c>
      <c r="E41" s="26">
        <f t="shared" si="0"/>
        <v>5155.0290000000005</v>
      </c>
      <c r="F41" s="26">
        <f t="shared" si="1"/>
        <v>4931.777</v>
      </c>
      <c r="G41" s="26">
        <f t="shared" si="2"/>
        <v>-822.47799999999995</v>
      </c>
    </row>
    <row r="42" spans="1:7" ht="14.25" customHeight="1" x14ac:dyDescent="0.35">
      <c r="A42" s="24" t="s">
        <v>284</v>
      </c>
      <c r="B42" s="25">
        <v>5290.1710000000003</v>
      </c>
      <c r="C42" s="25">
        <v>4995.1499999999996</v>
      </c>
      <c r="D42" s="25">
        <v>-894.37</v>
      </c>
      <c r="E42" s="26">
        <f t="shared" si="0"/>
        <v>5290.1710000000003</v>
      </c>
      <c r="F42" s="26">
        <f t="shared" si="1"/>
        <v>4995.1499999999996</v>
      </c>
      <c r="G42" s="26">
        <f t="shared" si="2"/>
        <v>-894.37</v>
      </c>
    </row>
    <row r="43" spans="1:7" ht="14.25" customHeight="1" x14ac:dyDescent="0.35">
      <c r="A43" s="24" t="s">
        <v>285</v>
      </c>
      <c r="B43" s="25">
        <v>5330.2489999999998</v>
      </c>
      <c r="C43" s="25">
        <v>5086.9219999999996</v>
      </c>
      <c r="D43" s="25">
        <v>-938.32500000000005</v>
      </c>
      <c r="E43" s="26">
        <f t="shared" si="0"/>
        <v>5330.2489999999998</v>
      </c>
      <c r="F43" s="26">
        <f t="shared" si="1"/>
        <v>5086.9219999999996</v>
      </c>
      <c r="G43" s="26">
        <f t="shared" si="2"/>
        <v>-938.32500000000005</v>
      </c>
    </row>
    <row r="44" spans="1:7" ht="14.25" customHeight="1" x14ac:dyDescent="0.35">
      <c r="A44" s="24" t="s">
        <v>286</v>
      </c>
      <c r="B44" s="25">
        <v>5261.83</v>
      </c>
      <c r="C44" s="25">
        <v>5150.7250000000004</v>
      </c>
      <c r="D44" s="25">
        <v>-938.66600000000005</v>
      </c>
      <c r="E44" s="26">
        <f t="shared" si="0"/>
        <v>5261.83</v>
      </c>
      <c r="F44" s="26">
        <f t="shared" si="1"/>
        <v>5150.7250000000004</v>
      </c>
      <c r="G44" s="26">
        <f t="shared" si="2"/>
        <v>-938.66600000000005</v>
      </c>
    </row>
    <row r="45" spans="1:7" ht="14.25" customHeight="1" x14ac:dyDescent="0.35">
      <c r="A45" s="24" t="s">
        <v>287</v>
      </c>
      <c r="B45" s="25">
        <v>5556.2160000000003</v>
      </c>
      <c r="C45" s="25">
        <v>5195.5169999999998</v>
      </c>
      <c r="D45" s="25">
        <v>-1264.604</v>
      </c>
      <c r="E45" s="27">
        <f>AVERAGE(B44,B46)</f>
        <v>5310.2309999999998</v>
      </c>
      <c r="F45" s="27">
        <f>C45</f>
        <v>5195.5169999999998</v>
      </c>
      <c r="G45" s="27">
        <f>AVERAGE(D44,D46)</f>
        <v>-919.23250000000007</v>
      </c>
    </row>
    <row r="46" spans="1:7" ht="14.25" customHeight="1" x14ac:dyDescent="0.35">
      <c r="A46" s="24" t="s">
        <v>288</v>
      </c>
      <c r="B46" s="25">
        <v>5358.6319999999996</v>
      </c>
      <c r="C46" s="25">
        <v>5236.97</v>
      </c>
      <c r="D46" s="25">
        <v>-899.79899999999998</v>
      </c>
      <c r="E46" s="26">
        <f>B46</f>
        <v>5358.6319999999996</v>
      </c>
      <c r="F46" s="26">
        <f>C46</f>
        <v>5236.97</v>
      </c>
      <c r="G46" s="26">
        <f>D46</f>
        <v>-899.79899999999998</v>
      </c>
    </row>
    <row r="47" spans="1:7" ht="14.25" customHeight="1" x14ac:dyDescent="0.35">
      <c r="A47" s="24" t="s">
        <v>289</v>
      </c>
      <c r="B47" s="25">
        <v>5419.0290000000005</v>
      </c>
      <c r="C47" s="25">
        <v>5324.402</v>
      </c>
      <c r="D47" s="25">
        <v>-756.57</v>
      </c>
      <c r="E47" s="26">
        <f>B47</f>
        <v>5419.0290000000005</v>
      </c>
      <c r="F47" s="26">
        <f>C47</f>
        <v>5324.402</v>
      </c>
      <c r="G47" s="26">
        <f>D47</f>
        <v>-756.57</v>
      </c>
    </row>
    <row r="48" spans="1:7" ht="14.25" customHeight="1" x14ac:dyDescent="0.35">
      <c r="A48" s="24" t="s">
        <v>290</v>
      </c>
      <c r="B48" s="25">
        <v>5500.6360000000004</v>
      </c>
      <c r="C48" s="25">
        <v>5343.5129999999999</v>
      </c>
      <c r="D48" s="25">
        <v>-784.97500000000002</v>
      </c>
      <c r="E48" s="26">
        <f>B48</f>
        <v>5500.6360000000004</v>
      </c>
      <c r="F48" s="26">
        <f>C48</f>
        <v>5343.5129999999999</v>
      </c>
      <c r="G48" s="26">
        <f>D48</f>
        <v>-784.97500000000002</v>
      </c>
    </row>
    <row r="49" spans="1:7" ht="14.25" customHeight="1" x14ac:dyDescent="0.35">
      <c r="A49" s="24" t="s">
        <v>291</v>
      </c>
      <c r="B49" s="25">
        <v>5634.0159999999996</v>
      </c>
      <c r="C49" s="25">
        <v>5416.7150000000001</v>
      </c>
      <c r="D49" s="25">
        <v>-819.95600000000002</v>
      </c>
      <c r="E49" s="26">
        <f>B49</f>
        <v>5634.0159999999996</v>
      </c>
      <c r="F49" s="26">
        <f>C49</f>
        <v>5416.7150000000001</v>
      </c>
      <c r="G49" s="26">
        <f>D49</f>
        <v>-819.95600000000002</v>
      </c>
    </row>
    <row r="50" spans="1:7" ht="14.25" customHeight="1" x14ac:dyDescent="0.35">
      <c r="A50" s="1"/>
      <c r="B50" s="1"/>
      <c r="C50" s="1"/>
      <c r="D50" s="1"/>
      <c r="E50" s="1"/>
      <c r="F50" s="1"/>
      <c r="G50" s="1"/>
    </row>
    <row r="51" spans="1:7" ht="14.25" customHeight="1" x14ac:dyDescent="0.35">
      <c r="A51" s="3" t="s">
        <v>292</v>
      </c>
      <c r="B51" s="1"/>
      <c r="C51" s="1"/>
      <c r="D51" s="1"/>
      <c r="E51" s="1"/>
      <c r="F51" s="1"/>
      <c r="G51" s="1"/>
    </row>
    <row r="52" spans="1:7" ht="14.25" customHeight="1" x14ac:dyDescent="0.35">
      <c r="A52" s="4" t="s">
        <v>293</v>
      </c>
      <c r="B52" s="1"/>
      <c r="C52" s="1"/>
      <c r="D52" s="1"/>
      <c r="E52" s="1"/>
      <c r="F52" s="1"/>
      <c r="G52" s="1"/>
    </row>
    <row r="53" spans="1:7" ht="14.25" customHeight="1" x14ac:dyDescent="0.35">
      <c r="A53" s="4" t="s">
        <v>294</v>
      </c>
      <c r="B53" s="1"/>
      <c r="C53" s="1"/>
      <c r="D53" s="1"/>
      <c r="E53" s="1"/>
      <c r="F53" s="1"/>
      <c r="G53" s="1"/>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4"/>
  <sheetViews>
    <sheetView zoomScaleNormal="100" workbookViewId="0"/>
  </sheetViews>
  <sheetFormatPr defaultColWidth="8.6328125" defaultRowHeight="14.5" x14ac:dyDescent="0.35"/>
  <cols>
    <col min="1" max="1" width="40" customWidth="1"/>
    <col min="2" max="3" width="22" customWidth="1"/>
    <col min="4" max="4" width="44" customWidth="1"/>
    <col min="5" max="5" width="14" customWidth="1"/>
  </cols>
  <sheetData>
    <row r="1" spans="1:5" ht="18" customHeight="1" x14ac:dyDescent="0.4">
      <c r="A1" s="8" t="s">
        <v>34</v>
      </c>
      <c r="B1" s="1"/>
      <c r="C1" s="1"/>
      <c r="D1" s="1"/>
      <c r="E1" s="1"/>
    </row>
    <row r="2" spans="1:5" ht="14.25" customHeight="1" x14ac:dyDescent="0.35">
      <c r="A2" s="7" t="s">
        <v>295</v>
      </c>
      <c r="B2" s="1"/>
      <c r="C2" s="1"/>
      <c r="D2" s="1"/>
      <c r="E2" s="1"/>
    </row>
    <row r="3" spans="1:5" ht="14.25" customHeight="1" x14ac:dyDescent="0.35">
      <c r="A3" s="1"/>
      <c r="B3" s="1"/>
      <c r="C3" s="1"/>
      <c r="D3" s="1"/>
      <c r="E3" s="1"/>
    </row>
    <row r="4" spans="1:5" ht="14.25" customHeight="1" x14ac:dyDescent="0.35">
      <c r="A4" s="3" t="s">
        <v>296</v>
      </c>
      <c r="B4" s="1"/>
      <c r="C4" s="1"/>
      <c r="D4" s="1"/>
      <c r="E4" s="1"/>
    </row>
    <row r="5" spans="1:5" ht="14.25" customHeight="1" x14ac:dyDescent="0.35">
      <c r="A5" s="4" t="s">
        <v>297</v>
      </c>
      <c r="B5" s="1"/>
      <c r="C5" s="1"/>
      <c r="D5" s="1"/>
      <c r="E5" s="1"/>
    </row>
    <row r="6" spans="1:5" ht="14.25" customHeight="1" x14ac:dyDescent="0.35">
      <c r="A6" s="4" t="s">
        <v>298</v>
      </c>
      <c r="B6" s="1"/>
      <c r="C6" s="1"/>
      <c r="D6" s="1"/>
      <c r="E6" s="1"/>
    </row>
    <row r="7" spans="1:5" ht="14.25" customHeight="1" x14ac:dyDescent="0.35">
      <c r="A7" s="4" t="s">
        <v>299</v>
      </c>
      <c r="B7" s="1"/>
      <c r="C7" s="1"/>
      <c r="D7" s="1"/>
      <c r="E7" s="1"/>
    </row>
    <row r="8" spans="1:5" ht="14.25" customHeight="1" x14ac:dyDescent="0.35">
      <c r="A8" s="1"/>
      <c r="B8" s="1"/>
      <c r="C8" s="1"/>
      <c r="D8" s="1"/>
      <c r="E8" s="1"/>
    </row>
    <row r="9" spans="1:5" ht="14.25" customHeight="1" x14ac:dyDescent="0.35">
      <c r="A9" s="2" t="s">
        <v>300</v>
      </c>
      <c r="B9" s="1"/>
      <c r="C9" s="1"/>
      <c r="D9" s="1"/>
      <c r="E9" s="1"/>
    </row>
    <row r="10" spans="1:5" ht="14.25" customHeight="1" x14ac:dyDescent="0.35">
      <c r="A10" s="5" t="s">
        <v>301</v>
      </c>
      <c r="B10" s="6" t="s">
        <v>302</v>
      </c>
      <c r="C10" s="6" t="s">
        <v>303</v>
      </c>
      <c r="D10" s="6" t="s">
        <v>304</v>
      </c>
      <c r="E10" s="1"/>
    </row>
    <row r="11" spans="1:5" ht="14.25" customHeight="1" x14ac:dyDescent="0.35">
      <c r="A11" s="11" t="s">
        <v>305</v>
      </c>
      <c r="B11" s="28">
        <v>294.39999999999998</v>
      </c>
      <c r="C11" s="28">
        <v>-325.89999999999998</v>
      </c>
      <c r="D11" s="28">
        <v>-31.5</v>
      </c>
      <c r="E11" s="1"/>
    </row>
    <row r="12" spans="1:5" ht="14.25" customHeight="1" x14ac:dyDescent="0.35">
      <c r="A12" s="11" t="s">
        <v>306</v>
      </c>
      <c r="B12" s="28">
        <v>-197.6</v>
      </c>
      <c r="C12" s="28">
        <v>364.8</v>
      </c>
      <c r="D12" s="28">
        <v>167.2</v>
      </c>
      <c r="E12" s="1"/>
    </row>
    <row r="13" spans="1:5" ht="14.25" customHeight="1" x14ac:dyDescent="0.35">
      <c r="A13" s="3" t="s">
        <v>307</v>
      </c>
      <c r="B13" s="1"/>
      <c r="C13" s="1"/>
      <c r="D13" s="1"/>
      <c r="E13" s="1"/>
    </row>
    <row r="14" spans="1:5" ht="14.25" customHeight="1" x14ac:dyDescent="0.35">
      <c r="A14" s="1"/>
      <c r="B14" s="1"/>
      <c r="C14" s="1"/>
      <c r="D14" s="1"/>
      <c r="E14" s="1"/>
    </row>
    <row r="15" spans="1:5" ht="14.25" customHeight="1" x14ac:dyDescent="0.35">
      <c r="A15" s="2" t="s">
        <v>308</v>
      </c>
      <c r="B15" s="1"/>
      <c r="C15" s="1"/>
      <c r="D15" s="1"/>
      <c r="E15" s="1"/>
    </row>
    <row r="16" spans="1:5" ht="14.25" customHeight="1" x14ac:dyDescent="0.35">
      <c r="A16" s="5" t="s">
        <v>309</v>
      </c>
      <c r="B16" s="6" t="s">
        <v>310</v>
      </c>
      <c r="C16" s="6" t="s">
        <v>311</v>
      </c>
      <c r="D16" s="6" t="s">
        <v>135</v>
      </c>
      <c r="E16" s="1"/>
    </row>
    <row r="17" spans="1:5" ht="22.5" customHeight="1" x14ac:dyDescent="0.35">
      <c r="A17" s="11" t="s">
        <v>312</v>
      </c>
      <c r="B17" s="29">
        <f>'BEA Source Data'!B45</f>
        <v>5556.2160000000003</v>
      </c>
      <c r="C17" s="29">
        <f>'BEA Source Data'!E45</f>
        <v>5310.2309999999998</v>
      </c>
      <c r="D17" s="30" t="s">
        <v>313</v>
      </c>
      <c r="E17" s="1"/>
    </row>
    <row r="18" spans="1:5" ht="22.5" customHeight="1" x14ac:dyDescent="0.35">
      <c r="A18" s="11" t="s">
        <v>314</v>
      </c>
      <c r="B18" s="29">
        <f>'BEA Source Data'!D45</f>
        <v>-1264.604</v>
      </c>
      <c r="C18" s="29">
        <f>'BEA Source Data'!G45</f>
        <v>-919.23250000000007</v>
      </c>
      <c r="D18" s="30" t="s">
        <v>313</v>
      </c>
      <c r="E18" s="1"/>
    </row>
    <row r="19" spans="1:5" ht="14.25" customHeight="1" x14ac:dyDescent="0.35">
      <c r="A19" s="1"/>
      <c r="B19" s="1"/>
      <c r="C19" s="1"/>
      <c r="D19" s="1"/>
      <c r="E19" s="1"/>
    </row>
    <row r="20" spans="1:5" ht="14.25" customHeight="1" x14ac:dyDescent="0.35">
      <c r="A20" s="3" t="s">
        <v>315</v>
      </c>
      <c r="B20" s="1"/>
      <c r="C20" s="1"/>
      <c r="D20" s="1"/>
      <c r="E20" s="1"/>
    </row>
    <row r="21" spans="1:5" ht="14.25" customHeight="1" x14ac:dyDescent="0.35">
      <c r="A21" s="4" t="s">
        <v>316</v>
      </c>
      <c r="B21" s="1"/>
      <c r="C21" s="1"/>
      <c r="D21" s="1"/>
      <c r="E21" s="1"/>
    </row>
    <row r="22" spans="1:5" ht="14.25" customHeight="1" x14ac:dyDescent="0.35">
      <c r="A22" s="4" t="s">
        <v>317</v>
      </c>
      <c r="B22" s="1"/>
      <c r="C22" s="1"/>
      <c r="D22" s="1"/>
      <c r="E22" s="1"/>
    </row>
    <row r="23" spans="1:5" ht="14.25" customHeight="1" x14ac:dyDescent="0.35">
      <c r="A23" s="4" t="s">
        <v>318</v>
      </c>
      <c r="B23" s="1"/>
      <c r="C23" s="1"/>
      <c r="D23" s="1"/>
      <c r="E23" s="1"/>
    </row>
    <row r="24" spans="1:5" ht="14.25" customHeight="1" x14ac:dyDescent="0.35">
      <c r="A24" s="4" t="s">
        <v>319</v>
      </c>
      <c r="B24" s="1"/>
      <c r="C24" s="1"/>
      <c r="D24" s="1"/>
      <c r="E24" s="1"/>
    </row>
    <row r="25" spans="1:5" ht="14.25" customHeight="1" x14ac:dyDescent="0.35">
      <c r="A25" s="1"/>
      <c r="B25" s="1"/>
      <c r="C25" s="1"/>
      <c r="D25" s="1"/>
      <c r="E25" s="1"/>
    </row>
    <row r="26" spans="1:5" ht="14.25" customHeight="1" x14ac:dyDescent="0.35">
      <c r="A26" s="2" t="s">
        <v>320</v>
      </c>
      <c r="B26" s="1"/>
      <c r="C26" s="1"/>
      <c r="D26" s="1"/>
      <c r="E26" s="1"/>
    </row>
    <row r="27" spans="1:5" ht="14.25" customHeight="1" x14ac:dyDescent="0.35">
      <c r="A27" s="5" t="s">
        <v>145</v>
      </c>
      <c r="B27" s="6" t="s">
        <v>321</v>
      </c>
      <c r="C27" s="6" t="s">
        <v>322</v>
      </c>
      <c r="D27" s="1"/>
      <c r="E27" s="1"/>
    </row>
    <row r="28" spans="1:5" ht="14.25" customHeight="1" x14ac:dyDescent="0.35">
      <c r="A28" s="31" t="s">
        <v>323</v>
      </c>
      <c r="B28" s="32" t="s">
        <v>324</v>
      </c>
      <c r="C28" s="32" t="s">
        <v>325</v>
      </c>
      <c r="D28" s="1"/>
      <c r="E28" s="1"/>
    </row>
    <row r="29" spans="1:5" ht="14.25" customHeight="1" x14ac:dyDescent="0.35">
      <c r="A29" s="31" t="s">
        <v>326</v>
      </c>
      <c r="B29" s="32" t="s">
        <v>327</v>
      </c>
      <c r="C29" s="32" t="s">
        <v>328</v>
      </c>
      <c r="D29" s="1"/>
      <c r="E29" s="1"/>
    </row>
    <row r="30" spans="1:5" ht="14.25" customHeight="1" x14ac:dyDescent="0.35">
      <c r="A30" s="31" t="s">
        <v>329</v>
      </c>
      <c r="B30" s="32" t="s">
        <v>330</v>
      </c>
      <c r="C30" s="32" t="s">
        <v>331</v>
      </c>
      <c r="D30" s="1"/>
      <c r="E30" s="1"/>
    </row>
    <row r="31" spans="1:5" ht="14.25" customHeight="1" x14ac:dyDescent="0.35">
      <c r="A31" s="31" t="s">
        <v>332</v>
      </c>
      <c r="B31" s="32" t="s">
        <v>333</v>
      </c>
      <c r="C31" s="32" t="s">
        <v>334</v>
      </c>
      <c r="D31" s="1"/>
      <c r="E31" s="1"/>
    </row>
    <row r="32" spans="1:5" ht="14.25" customHeight="1" x14ac:dyDescent="0.35">
      <c r="A32" s="1"/>
      <c r="B32" s="1"/>
      <c r="C32" s="1"/>
      <c r="D32" s="1"/>
      <c r="E32" s="1"/>
    </row>
    <row r="33" spans="1:5" ht="14.25" customHeight="1" x14ac:dyDescent="0.35">
      <c r="A33" s="3" t="s">
        <v>335</v>
      </c>
      <c r="B33" s="1"/>
      <c r="C33" s="1"/>
      <c r="D33" s="1"/>
      <c r="E33" s="1"/>
    </row>
    <row r="34" spans="1:5" ht="14.25" customHeight="1" x14ac:dyDescent="0.35">
      <c r="A34" s="4" t="s">
        <v>336</v>
      </c>
      <c r="B34" s="1"/>
      <c r="C34" s="1"/>
      <c r="D34" s="1"/>
      <c r="E34" s="1"/>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6"/>
  <sheetViews>
    <sheetView zoomScaleNormal="100" workbookViewId="0">
      <selection activeCell="A32" sqref="A32"/>
    </sheetView>
  </sheetViews>
  <sheetFormatPr defaultColWidth="8.6328125" defaultRowHeight="14.5" x14ac:dyDescent="0.35"/>
  <cols>
    <col min="1" max="1" width="48" customWidth="1"/>
    <col min="2" max="2" width="16" customWidth="1"/>
    <col min="3" max="3" width="64" customWidth="1"/>
  </cols>
  <sheetData>
    <row r="1" spans="1:3" ht="18" customHeight="1" x14ac:dyDescent="0.4">
      <c r="A1" s="8" t="s">
        <v>19</v>
      </c>
      <c r="B1" s="1"/>
      <c r="C1" s="1"/>
    </row>
    <row r="2" spans="1:3" ht="14.25" customHeight="1" x14ac:dyDescent="0.35">
      <c r="A2" s="7" t="s">
        <v>337</v>
      </c>
      <c r="B2" s="1"/>
      <c r="C2" s="1"/>
    </row>
    <row r="3" spans="1:3" ht="14.25" customHeight="1" x14ac:dyDescent="0.35">
      <c r="A3" s="1"/>
      <c r="B3" s="1"/>
      <c r="C3" s="1"/>
    </row>
    <row r="4" spans="1:3" ht="14.25" customHeight="1" x14ac:dyDescent="0.35">
      <c r="A4" s="2" t="s">
        <v>338</v>
      </c>
      <c r="B4" s="1"/>
      <c r="C4" s="1"/>
    </row>
    <row r="5" spans="1:3" ht="14.25" customHeight="1" x14ac:dyDescent="0.35">
      <c r="A5" s="5" t="s">
        <v>145</v>
      </c>
      <c r="B5" s="6" t="s">
        <v>146</v>
      </c>
      <c r="C5" s="6" t="s">
        <v>163</v>
      </c>
    </row>
    <row r="6" spans="1:3" ht="14.25" customHeight="1" x14ac:dyDescent="0.35">
      <c r="A6" s="19" t="s">
        <v>339</v>
      </c>
      <c r="B6" s="20">
        <f>AVERAGE('BEA Source Data'!E45:E48)/AVERAGE('BEA Source Data'!E41:E44)-1</f>
        <v>2.6203436290406001E-2</v>
      </c>
      <c r="C6" s="15" t="s">
        <v>340</v>
      </c>
    </row>
    <row r="7" spans="1:3" ht="14.25" customHeight="1" x14ac:dyDescent="0.35">
      <c r="A7" s="19" t="s">
        <v>341</v>
      </c>
      <c r="B7" s="20">
        <f>'BEA Source Data'!E49/'BEA Source Data'!E45-1</f>
        <v>6.0973806977511869E-2</v>
      </c>
      <c r="C7" s="15" t="s">
        <v>342</v>
      </c>
    </row>
    <row r="8" spans="1:3" ht="14.25" customHeight="1" x14ac:dyDescent="0.35">
      <c r="A8" s="19" t="s">
        <v>343</v>
      </c>
      <c r="B8" s="20">
        <f>('BEA Source Data'!E49/'BEA Source Data'!E48)^4-1</f>
        <v>0.1005776185280165</v>
      </c>
      <c r="C8" s="15" t="s">
        <v>344</v>
      </c>
    </row>
    <row r="9" spans="1:3" ht="14.25" customHeight="1" x14ac:dyDescent="0.35">
      <c r="A9" s="1"/>
      <c r="B9" s="1"/>
      <c r="C9" s="1"/>
    </row>
    <row r="10" spans="1:3" ht="14.25" customHeight="1" x14ac:dyDescent="0.35">
      <c r="A10" s="2" t="s">
        <v>345</v>
      </c>
      <c r="B10" s="1"/>
      <c r="C10" s="1"/>
    </row>
    <row r="11" spans="1:3" ht="14.25" customHeight="1" x14ac:dyDescent="0.35">
      <c r="A11" s="5" t="s">
        <v>162</v>
      </c>
      <c r="B11" s="6" t="s">
        <v>146</v>
      </c>
      <c r="C11" s="6" t="s">
        <v>163</v>
      </c>
    </row>
    <row r="12" spans="1:3" ht="14.25" customHeight="1" x14ac:dyDescent="0.35">
      <c r="A12" s="19" t="s">
        <v>346</v>
      </c>
      <c r="B12" s="22">
        <v>0.5</v>
      </c>
      <c r="C12" s="15" t="s">
        <v>347</v>
      </c>
    </row>
    <row r="13" spans="1:3" ht="14.25" customHeight="1" x14ac:dyDescent="0.35">
      <c r="A13" s="19" t="s">
        <v>348</v>
      </c>
      <c r="B13" s="23">
        <f>B6*B12+B7*(1-B12)</f>
        <v>4.3588621633958935E-2</v>
      </c>
      <c r="C13" s="15" t="s">
        <v>349</v>
      </c>
    </row>
    <row r="14" spans="1:3" ht="21.75" customHeight="1" x14ac:dyDescent="0.35">
      <c r="A14" s="19" t="s">
        <v>350</v>
      </c>
      <c r="B14" s="20">
        <f>'AI Capex Build'!B44</f>
        <v>4.7627881290318988E-2</v>
      </c>
      <c r="C14" s="15" t="s">
        <v>351</v>
      </c>
    </row>
    <row r="15" spans="1:3" ht="14.25" customHeight="1" x14ac:dyDescent="0.35">
      <c r="A15" s="16" t="s">
        <v>352</v>
      </c>
      <c r="B15" s="21">
        <f>B13</f>
        <v>4.3588621633958935E-2</v>
      </c>
      <c r="C15" s="15" t="s">
        <v>353</v>
      </c>
    </row>
    <row r="16" spans="1:3" ht="14.25" customHeight="1" x14ac:dyDescent="0.35">
      <c r="A16" s="1"/>
      <c r="B16" s="1"/>
      <c r="C16" s="1"/>
    </row>
    <row r="17" spans="1:3" ht="14.25" customHeight="1" x14ac:dyDescent="0.35">
      <c r="A17" s="38" t="s">
        <v>354</v>
      </c>
      <c r="B17" s="34"/>
      <c r="C17" s="34"/>
    </row>
    <row r="18" spans="1:3" ht="14.25" customHeight="1" x14ac:dyDescent="0.35">
      <c r="A18" s="39" t="s">
        <v>355</v>
      </c>
      <c r="B18" s="34"/>
      <c r="C18" s="34"/>
    </row>
    <row r="19" spans="1:3" ht="14.25" customHeight="1" x14ac:dyDescent="0.35">
      <c r="A19" s="39" t="s">
        <v>356</v>
      </c>
      <c r="B19" s="34"/>
      <c r="C19" s="34"/>
    </row>
    <row r="20" spans="1:3" ht="14.25" customHeight="1" x14ac:dyDescent="0.35">
      <c r="A20" s="39" t="s">
        <v>357</v>
      </c>
      <c r="B20" s="34"/>
      <c r="C20" s="34"/>
    </row>
    <row r="21" spans="1:3" ht="14.25" customHeight="1" x14ac:dyDescent="0.35">
      <c r="A21" s="39" t="s">
        <v>358</v>
      </c>
      <c r="B21" s="34"/>
      <c r="C21" s="34"/>
    </row>
    <row r="22" spans="1:3" x14ac:dyDescent="0.35">
      <c r="A22" s="48"/>
      <c r="B22" s="48"/>
      <c r="C22" s="48"/>
    </row>
    <row r="23" spans="1:3" x14ac:dyDescent="0.35">
      <c r="A23" s="48"/>
      <c r="B23" s="48"/>
      <c r="C23" s="48"/>
    </row>
    <row r="24" spans="1:3" x14ac:dyDescent="0.35">
      <c r="A24" s="48"/>
      <c r="B24" s="48"/>
      <c r="C24" s="48"/>
    </row>
    <row r="25" spans="1:3" x14ac:dyDescent="0.35">
      <c r="A25" s="48"/>
      <c r="B25" s="48"/>
      <c r="C25" s="48"/>
    </row>
    <row r="26" spans="1:3" x14ac:dyDescent="0.35">
      <c r="A26" s="48"/>
      <c r="B26" s="48"/>
      <c r="C26" s="48"/>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9"/>
  <sheetViews>
    <sheetView topLeftCell="A10" zoomScaleNormal="100" workbookViewId="0">
      <selection activeCell="E26" sqref="E26"/>
    </sheetView>
  </sheetViews>
  <sheetFormatPr defaultColWidth="8.6328125" defaultRowHeight="14" x14ac:dyDescent="0.3"/>
  <cols>
    <col min="1" max="1" width="42" style="48" customWidth="1"/>
    <col min="2" max="4" width="14" style="48" customWidth="1"/>
    <col min="5" max="8" width="12" style="48" customWidth="1"/>
    <col min="9" max="9" width="50" style="48" customWidth="1"/>
    <col min="10" max="16384" width="8.6328125" style="48"/>
  </cols>
  <sheetData>
    <row r="1" spans="1:9" ht="18" customHeight="1" x14ac:dyDescent="0.4">
      <c r="A1" s="51" t="s">
        <v>359</v>
      </c>
      <c r="B1" s="34"/>
      <c r="C1" s="34"/>
      <c r="D1" s="34"/>
      <c r="E1" s="34"/>
      <c r="F1" s="34"/>
      <c r="G1" s="34"/>
      <c r="H1" s="34"/>
      <c r="I1" s="34"/>
    </row>
    <row r="2" spans="1:9" ht="14.25" customHeight="1" x14ac:dyDescent="0.3">
      <c r="A2" s="39" t="s">
        <v>360</v>
      </c>
      <c r="B2" s="34"/>
      <c r="C2" s="34"/>
      <c r="D2" s="34"/>
      <c r="E2" s="34"/>
      <c r="F2" s="34"/>
      <c r="G2" s="34"/>
      <c r="H2" s="34"/>
      <c r="I2" s="34"/>
    </row>
    <row r="3" spans="1:9" ht="14.25" customHeight="1" x14ac:dyDescent="0.3">
      <c r="A3" s="34"/>
      <c r="B3" s="34"/>
      <c r="C3" s="34"/>
      <c r="D3" s="34"/>
      <c r="E3" s="34"/>
      <c r="F3" s="34"/>
      <c r="G3" s="34"/>
      <c r="H3" s="34"/>
      <c r="I3" s="34"/>
    </row>
    <row r="4" spans="1:9" ht="14.25" customHeight="1" x14ac:dyDescent="0.3">
      <c r="A4" s="38" t="s">
        <v>361</v>
      </c>
      <c r="B4" s="34"/>
      <c r="C4" s="34"/>
      <c r="D4" s="34"/>
      <c r="E4" s="34"/>
      <c r="F4" s="34"/>
      <c r="G4" s="34"/>
      <c r="H4" s="34"/>
      <c r="I4" s="34"/>
    </row>
    <row r="5" spans="1:9" ht="14.25" customHeight="1" x14ac:dyDescent="0.3">
      <c r="A5" s="39" t="s">
        <v>362</v>
      </c>
      <c r="B5" s="34"/>
      <c r="C5" s="34"/>
      <c r="D5" s="34"/>
      <c r="E5" s="34"/>
      <c r="F5" s="34"/>
      <c r="G5" s="34"/>
      <c r="H5" s="34"/>
      <c r="I5" s="34"/>
    </row>
    <row r="6" spans="1:9" ht="14.25" customHeight="1" x14ac:dyDescent="0.3">
      <c r="A6" s="39" t="s">
        <v>363</v>
      </c>
      <c r="B6" s="34"/>
      <c r="C6" s="34"/>
      <c r="D6" s="34"/>
      <c r="E6" s="34"/>
      <c r="F6" s="34"/>
      <c r="G6" s="34"/>
      <c r="H6" s="34"/>
      <c r="I6" s="34"/>
    </row>
    <row r="7" spans="1:9" ht="14.25" customHeight="1" x14ac:dyDescent="0.3">
      <c r="A7" s="39" t="s">
        <v>364</v>
      </c>
      <c r="B7" s="34"/>
      <c r="C7" s="34"/>
      <c r="D7" s="34"/>
      <c r="E7" s="34"/>
      <c r="F7" s="34"/>
      <c r="G7" s="34"/>
      <c r="H7" s="34"/>
      <c r="I7" s="34"/>
    </row>
    <row r="8" spans="1:9" ht="14.25" customHeight="1" x14ac:dyDescent="0.3">
      <c r="A8" s="34"/>
      <c r="B8" s="34"/>
      <c r="C8" s="34"/>
      <c r="D8" s="34"/>
      <c r="E8" s="34"/>
      <c r="F8" s="34"/>
      <c r="G8" s="34"/>
      <c r="H8" s="34"/>
      <c r="I8" s="34"/>
    </row>
    <row r="9" spans="1:9" ht="14.25" customHeight="1" x14ac:dyDescent="0.3">
      <c r="A9" s="37" t="s">
        <v>365</v>
      </c>
      <c r="B9" s="34"/>
      <c r="C9" s="34"/>
      <c r="D9" s="34"/>
      <c r="E9" s="34"/>
      <c r="F9" s="34"/>
      <c r="G9" s="34"/>
      <c r="H9" s="34"/>
      <c r="I9" s="34"/>
    </row>
    <row r="10" spans="1:9" ht="14.25" customHeight="1" x14ac:dyDescent="0.3">
      <c r="A10" s="40" t="s">
        <v>366</v>
      </c>
      <c r="B10" s="41" t="s">
        <v>367</v>
      </c>
      <c r="C10" s="41" t="s">
        <v>368</v>
      </c>
      <c r="D10" s="41" t="s">
        <v>369</v>
      </c>
      <c r="E10" s="41" t="s">
        <v>370</v>
      </c>
      <c r="F10" s="41" t="s">
        <v>371</v>
      </c>
      <c r="G10" s="41" t="s">
        <v>372</v>
      </c>
      <c r="H10" s="41" t="s">
        <v>370</v>
      </c>
      <c r="I10" s="41" t="s">
        <v>373</v>
      </c>
    </row>
    <row r="11" spans="1:9" ht="14.25" customHeight="1" x14ac:dyDescent="0.3">
      <c r="A11" s="68" t="s">
        <v>374</v>
      </c>
      <c r="B11" s="75">
        <v>1018724</v>
      </c>
      <c r="C11" s="76">
        <v>82.998999999999995</v>
      </c>
      <c r="D11" s="76">
        <v>131.81899999999999</v>
      </c>
      <c r="E11" s="77">
        <f t="shared" ref="E11:E16" si="0">D11/C11-1</f>
        <v>0.58819985782961237</v>
      </c>
      <c r="F11" s="76">
        <v>25.018999999999998</v>
      </c>
      <c r="G11" s="76">
        <v>44.203000000000003</v>
      </c>
      <c r="H11" s="77">
        <f t="shared" ref="H11:H16" si="1">G11/F11-1</f>
        <v>0.76677724929053936</v>
      </c>
      <c r="I11" s="54" t="s">
        <v>375</v>
      </c>
    </row>
    <row r="12" spans="1:9" ht="14.25" customHeight="1" x14ac:dyDescent="0.3">
      <c r="A12" s="68" t="s">
        <v>376</v>
      </c>
      <c r="B12" s="75">
        <v>789019</v>
      </c>
      <c r="C12" s="76">
        <v>55.552</v>
      </c>
      <c r="D12" s="76">
        <v>83.093999999999994</v>
      </c>
      <c r="E12" s="77">
        <f t="shared" si="0"/>
        <v>0.49578773041474644</v>
      </c>
      <c r="F12" s="76">
        <v>16.745000000000001</v>
      </c>
      <c r="G12" s="76">
        <v>30.876000000000001</v>
      </c>
      <c r="H12" s="77">
        <f t="shared" si="1"/>
        <v>0.84389369961182448</v>
      </c>
      <c r="I12" s="54" t="s">
        <v>377</v>
      </c>
    </row>
    <row r="13" spans="1:9" ht="14.25" customHeight="1" x14ac:dyDescent="0.3">
      <c r="A13" s="68" t="s">
        <v>378</v>
      </c>
      <c r="B13" s="75">
        <v>1652044</v>
      </c>
      <c r="C13" s="76">
        <v>52.534999999999997</v>
      </c>
      <c r="D13" s="76">
        <v>91.447000000000003</v>
      </c>
      <c r="E13" s="77">
        <f t="shared" si="0"/>
        <v>0.74068716094032561</v>
      </c>
      <c r="F13" s="76">
        <v>17.196999999999999</v>
      </c>
      <c r="G13" s="76">
        <v>35.673999999999999</v>
      </c>
      <c r="H13" s="77">
        <f t="shared" si="1"/>
        <v>1.0744315869046925</v>
      </c>
      <c r="I13" s="54" t="s">
        <v>379</v>
      </c>
    </row>
    <row r="14" spans="1:9" ht="14.25" customHeight="1" x14ac:dyDescent="0.3">
      <c r="A14" s="68" t="s">
        <v>380</v>
      </c>
      <c r="B14" s="75">
        <v>1326801</v>
      </c>
      <c r="C14" s="76">
        <v>37.256</v>
      </c>
      <c r="D14" s="76">
        <v>69.691000000000003</v>
      </c>
      <c r="E14" s="77">
        <f t="shared" si="0"/>
        <v>0.87059802447927859</v>
      </c>
      <c r="F14" s="76">
        <v>12.941000000000001</v>
      </c>
      <c r="G14" s="76">
        <v>18.997</v>
      </c>
      <c r="H14" s="77">
        <f t="shared" si="1"/>
        <v>0.46797001777296954</v>
      </c>
      <c r="I14" s="54" t="s">
        <v>381</v>
      </c>
    </row>
    <row r="15" spans="1:9" ht="14.25" customHeight="1" x14ac:dyDescent="0.3">
      <c r="A15" s="68" t="s">
        <v>382</v>
      </c>
      <c r="B15" s="75">
        <v>1341439</v>
      </c>
      <c r="C15" s="76">
        <v>14.933</v>
      </c>
      <c r="D15" s="76">
        <v>48.25</v>
      </c>
      <c r="E15" s="77">
        <f t="shared" si="0"/>
        <v>2.2310989084577781</v>
      </c>
      <c r="F15" s="76">
        <v>5.8620000000000001</v>
      </c>
      <c r="G15" s="76">
        <v>18.635000000000002</v>
      </c>
      <c r="H15" s="77">
        <f t="shared" si="1"/>
        <v>2.1789491641078134</v>
      </c>
      <c r="I15" s="54" t="s">
        <v>383</v>
      </c>
    </row>
    <row r="16" spans="1:9" ht="14.25" customHeight="1" x14ac:dyDescent="0.3">
      <c r="A16" s="58" t="s">
        <v>384</v>
      </c>
      <c r="B16" s="34"/>
      <c r="C16" s="78">
        <f>SUM(C11:C15)</f>
        <v>243.27499999999998</v>
      </c>
      <c r="D16" s="78">
        <f>SUM(D11:D15)</f>
        <v>424.30100000000004</v>
      </c>
      <c r="E16" s="79">
        <f t="shared" si="0"/>
        <v>0.74412085088891211</v>
      </c>
      <c r="F16" s="78">
        <f>SUM(F11:F15)</f>
        <v>77.763999999999996</v>
      </c>
      <c r="G16" s="78">
        <f>SUM(G11:G15)</f>
        <v>148.38499999999999</v>
      </c>
      <c r="H16" s="79">
        <f t="shared" si="1"/>
        <v>0.90814515714212241</v>
      </c>
      <c r="I16" s="34"/>
    </row>
    <row r="17" spans="1:9" ht="14.25" customHeight="1" x14ac:dyDescent="0.3">
      <c r="A17" s="38" t="s">
        <v>385</v>
      </c>
      <c r="B17" s="34"/>
      <c r="C17" s="34"/>
      <c r="D17" s="34"/>
      <c r="E17" s="34"/>
      <c r="F17" s="34"/>
      <c r="G17" s="34"/>
      <c r="H17" s="34"/>
      <c r="I17" s="34"/>
    </row>
    <row r="18" spans="1:9" ht="14.25" customHeight="1" x14ac:dyDescent="0.3">
      <c r="A18" s="39" t="s">
        <v>386</v>
      </c>
      <c r="B18" s="34"/>
      <c r="C18" s="34"/>
      <c r="D18" s="34"/>
      <c r="E18" s="34"/>
      <c r="F18" s="34"/>
      <c r="G18" s="34"/>
      <c r="H18" s="34"/>
      <c r="I18" s="34"/>
    </row>
    <row r="19" spans="1:9" ht="14.25" customHeight="1" x14ac:dyDescent="0.3">
      <c r="A19" s="39" t="s">
        <v>387</v>
      </c>
      <c r="B19" s="34"/>
      <c r="C19" s="34"/>
      <c r="D19" s="34"/>
      <c r="E19" s="34"/>
      <c r="F19" s="34"/>
      <c r="G19" s="34"/>
      <c r="H19" s="34"/>
      <c r="I19" s="34"/>
    </row>
    <row r="20" spans="1:9" ht="14.25" customHeight="1" x14ac:dyDescent="0.3">
      <c r="A20" s="39" t="s">
        <v>388</v>
      </c>
      <c r="B20" s="34"/>
      <c r="C20" s="34"/>
      <c r="D20" s="34"/>
      <c r="E20" s="34"/>
      <c r="F20" s="34"/>
      <c r="G20" s="34"/>
      <c r="H20" s="34"/>
      <c r="I20" s="34"/>
    </row>
    <row r="21" spans="1:9" ht="14.25" customHeight="1" x14ac:dyDescent="0.3">
      <c r="A21" s="39" t="s">
        <v>389</v>
      </c>
      <c r="B21" s="34"/>
      <c r="C21" s="34"/>
      <c r="D21" s="34"/>
      <c r="E21" s="34"/>
      <c r="F21" s="34"/>
      <c r="G21" s="34"/>
      <c r="H21" s="34"/>
      <c r="I21" s="34"/>
    </row>
    <row r="22" spans="1:9" ht="14.25" customHeight="1" x14ac:dyDescent="0.3">
      <c r="A22" s="34"/>
      <c r="B22" s="34"/>
      <c r="C22" s="34"/>
      <c r="D22" s="34"/>
      <c r="E22" s="34"/>
      <c r="F22" s="34"/>
      <c r="G22" s="34"/>
      <c r="H22" s="34"/>
      <c r="I22" s="34"/>
    </row>
    <row r="23" spans="1:9" ht="14.25" customHeight="1" x14ac:dyDescent="0.3">
      <c r="A23" s="37" t="s">
        <v>390</v>
      </c>
      <c r="B23" s="34"/>
      <c r="C23" s="34"/>
      <c r="D23" s="34"/>
      <c r="E23" s="34"/>
      <c r="F23" s="34"/>
      <c r="G23" s="34"/>
      <c r="H23" s="34"/>
      <c r="I23" s="34"/>
    </row>
    <row r="24" spans="1:9" ht="26.25" customHeight="1" x14ac:dyDescent="0.3">
      <c r="A24" s="40" t="s">
        <v>391</v>
      </c>
      <c r="B24" s="41" t="s">
        <v>392</v>
      </c>
      <c r="C24" s="41" t="s">
        <v>135</v>
      </c>
      <c r="D24" s="34"/>
      <c r="E24" s="34"/>
      <c r="F24" s="34"/>
      <c r="G24" s="34"/>
      <c r="H24" s="34"/>
      <c r="I24" s="34"/>
    </row>
    <row r="25" spans="1:9" ht="66" customHeight="1" x14ac:dyDescent="0.3">
      <c r="A25" s="52" t="s">
        <v>393</v>
      </c>
      <c r="B25" s="80">
        <f>G16*4</f>
        <v>593.54</v>
      </c>
      <c r="C25" s="54" t="s">
        <v>394</v>
      </c>
      <c r="D25" s="34"/>
      <c r="E25" s="34"/>
      <c r="F25" s="34"/>
      <c r="G25" s="34"/>
      <c r="H25" s="34"/>
      <c r="I25" s="34"/>
    </row>
    <row r="26" spans="1:9" ht="76.5" customHeight="1" x14ac:dyDescent="0.3">
      <c r="A26" s="52" t="s">
        <v>395</v>
      </c>
      <c r="B26" s="80">
        <f>D16*(1+H16)</f>
        <v>809.62789832055978</v>
      </c>
      <c r="C26" s="54" t="s">
        <v>396</v>
      </c>
      <c r="D26" s="34"/>
      <c r="E26" s="34"/>
      <c r="F26" s="34"/>
      <c r="G26" s="34"/>
      <c r="H26" s="34"/>
      <c r="I26" s="34"/>
    </row>
    <row r="27" spans="1:9" ht="43.5" customHeight="1" x14ac:dyDescent="0.3">
      <c r="A27" s="58" t="s">
        <v>397</v>
      </c>
      <c r="B27" s="81">
        <f>AVERAGE(B25,B26)</f>
        <v>701.58394916027987</v>
      </c>
      <c r="C27" s="54" t="s">
        <v>398</v>
      </c>
      <c r="D27" s="34"/>
      <c r="E27" s="34"/>
      <c r="F27" s="34"/>
      <c r="G27" s="34"/>
      <c r="H27" s="34"/>
      <c r="I27" s="34"/>
    </row>
    <row r="28" spans="1:9" ht="14.25" customHeight="1" x14ac:dyDescent="0.3">
      <c r="A28" s="52" t="s">
        <v>399</v>
      </c>
      <c r="B28" s="82">
        <f>B27/D16-1</f>
        <v>0.65350529261132961</v>
      </c>
      <c r="C28" s="34"/>
      <c r="D28" s="34"/>
      <c r="E28" s="34"/>
      <c r="F28" s="34"/>
      <c r="G28" s="34"/>
      <c r="H28" s="34"/>
      <c r="I28" s="34"/>
    </row>
    <row r="29" spans="1:9" ht="14.25" customHeight="1" x14ac:dyDescent="0.3">
      <c r="A29" s="38" t="s">
        <v>400</v>
      </c>
      <c r="B29" s="34"/>
      <c r="C29" s="34"/>
      <c r="D29" s="34"/>
      <c r="E29" s="34"/>
      <c r="F29" s="34"/>
      <c r="G29" s="34"/>
      <c r="H29" s="34"/>
      <c r="I29" s="34"/>
    </row>
    <row r="30" spans="1:9" ht="14.25" customHeight="1" x14ac:dyDescent="0.3">
      <c r="A30" s="39" t="s">
        <v>401</v>
      </c>
      <c r="B30" s="34"/>
      <c r="C30" s="34"/>
      <c r="D30" s="34"/>
      <c r="E30" s="34"/>
      <c r="F30" s="34"/>
      <c r="G30" s="34"/>
      <c r="H30" s="34"/>
      <c r="I30" s="34"/>
    </row>
    <row r="31" spans="1:9" ht="14.25" customHeight="1" x14ac:dyDescent="0.3">
      <c r="A31" s="39" t="s">
        <v>402</v>
      </c>
      <c r="B31" s="34"/>
      <c r="C31" s="34"/>
      <c r="D31" s="34"/>
      <c r="E31" s="34"/>
      <c r="F31" s="34"/>
      <c r="G31" s="34"/>
      <c r="H31" s="34"/>
      <c r="I31" s="34"/>
    </row>
    <row r="32" spans="1:9" ht="14.25" customHeight="1" x14ac:dyDescent="0.3">
      <c r="A32" s="34"/>
      <c r="B32" s="34"/>
      <c r="C32" s="34"/>
      <c r="D32" s="34"/>
      <c r="E32" s="34"/>
      <c r="F32" s="34"/>
      <c r="G32" s="34"/>
      <c r="H32" s="34"/>
      <c r="I32" s="34"/>
    </row>
    <row r="33" spans="1:9" ht="14.25" customHeight="1" x14ac:dyDescent="0.3">
      <c r="A33" s="34"/>
      <c r="B33" s="34"/>
      <c r="C33" s="34"/>
      <c r="D33" s="34"/>
      <c r="E33" s="34"/>
      <c r="F33" s="34"/>
      <c r="G33" s="34"/>
      <c r="H33" s="34"/>
      <c r="I33" s="34"/>
    </row>
    <row r="34" spans="1:9" ht="14.25" customHeight="1" x14ac:dyDescent="0.3">
      <c r="A34" s="37" t="s">
        <v>403</v>
      </c>
      <c r="B34" s="34"/>
      <c r="C34" s="34"/>
      <c r="D34" s="34"/>
      <c r="E34" s="34"/>
      <c r="F34" s="34"/>
      <c r="G34" s="34"/>
      <c r="H34" s="34"/>
      <c r="I34" s="34"/>
    </row>
    <row r="35" spans="1:9" ht="26.25" customHeight="1" x14ac:dyDescent="0.3">
      <c r="A35" s="40" t="s">
        <v>162</v>
      </c>
      <c r="B35" s="41" t="s">
        <v>146</v>
      </c>
      <c r="C35" s="41" t="s">
        <v>163</v>
      </c>
      <c r="D35" s="34"/>
      <c r="E35" s="34"/>
      <c r="F35" s="34"/>
      <c r="G35" s="34"/>
      <c r="H35" s="34"/>
      <c r="I35" s="34"/>
    </row>
    <row r="36" spans="1:9" ht="14.25" customHeight="1" x14ac:dyDescent="0.3">
      <c r="A36" s="52" t="s">
        <v>404</v>
      </c>
      <c r="B36" s="80">
        <f>B27-D16</f>
        <v>277.28294916027983</v>
      </c>
      <c r="C36" s="34"/>
      <c r="D36" s="34"/>
      <c r="E36" s="34"/>
      <c r="F36" s="34"/>
      <c r="G36" s="34"/>
      <c r="H36" s="34"/>
      <c r="I36" s="34"/>
    </row>
    <row r="37" spans="1:9" ht="76.5" customHeight="1" x14ac:dyDescent="0.3">
      <c r="A37" s="52" t="s">
        <v>405</v>
      </c>
      <c r="B37" s="60">
        <v>0.65</v>
      </c>
      <c r="C37" s="54" t="s">
        <v>406</v>
      </c>
      <c r="D37" s="34"/>
      <c r="E37" s="34"/>
      <c r="F37" s="34"/>
      <c r="G37" s="34"/>
      <c r="H37" s="34"/>
      <c r="I37" s="34"/>
    </row>
    <row r="38" spans="1:9" ht="14.25" customHeight="1" x14ac:dyDescent="0.3">
      <c r="A38" s="52" t="s">
        <v>407</v>
      </c>
      <c r="B38" s="80">
        <f>B36*B37</f>
        <v>180.23391695418189</v>
      </c>
      <c r="C38" s="34"/>
      <c r="D38" s="34"/>
      <c r="E38" s="34"/>
      <c r="F38" s="34"/>
      <c r="G38" s="34"/>
      <c r="H38" s="34"/>
      <c r="I38" s="34"/>
    </row>
    <row r="39" spans="1:9" ht="21.75" customHeight="1" x14ac:dyDescent="0.3">
      <c r="A39" s="52" t="s">
        <v>408</v>
      </c>
      <c r="B39" s="66">
        <f>AVERAGE('BEA Source Data'!E45:E48)</f>
        <v>5397.1319999999996</v>
      </c>
      <c r="C39" s="54" t="s">
        <v>409</v>
      </c>
      <c r="D39" s="34"/>
      <c r="E39" s="34"/>
      <c r="F39" s="34"/>
      <c r="G39" s="34"/>
      <c r="H39" s="34"/>
      <c r="I39" s="34"/>
    </row>
    <row r="40" spans="1:9" ht="33" customHeight="1" x14ac:dyDescent="0.3">
      <c r="A40" s="58" t="s">
        <v>410</v>
      </c>
      <c r="B40" s="83">
        <f>D16/B39</f>
        <v>7.861601309732652E-2</v>
      </c>
      <c r="C40" s="54" t="s">
        <v>411</v>
      </c>
      <c r="D40" s="34"/>
      <c r="E40" s="34"/>
      <c r="F40" s="34"/>
      <c r="G40" s="34"/>
      <c r="H40" s="34"/>
      <c r="I40" s="34"/>
    </row>
    <row r="41" spans="1:9" ht="14.25" customHeight="1" x14ac:dyDescent="0.3">
      <c r="A41" s="58" t="s">
        <v>412</v>
      </c>
      <c r="B41" s="64">
        <f>B38/B39</f>
        <v>3.3394387418017923E-2</v>
      </c>
      <c r="C41" s="34"/>
      <c r="D41" s="34"/>
      <c r="E41" s="34"/>
      <c r="F41" s="34"/>
      <c r="G41" s="34"/>
      <c r="H41" s="34"/>
      <c r="I41" s="34"/>
    </row>
    <row r="42" spans="1:9" ht="76.5" customHeight="1" x14ac:dyDescent="0.3">
      <c r="A42" s="52" t="s">
        <v>413</v>
      </c>
      <c r="B42" s="84">
        <v>1.4999999999999999E-2</v>
      </c>
      <c r="C42" s="54" t="s">
        <v>414</v>
      </c>
      <c r="D42" s="34"/>
      <c r="E42" s="34"/>
      <c r="F42" s="34"/>
      <c r="G42" s="34"/>
      <c r="H42" s="34"/>
      <c r="I42" s="34"/>
    </row>
    <row r="43" spans="1:9" ht="14.25" customHeight="1" x14ac:dyDescent="0.3">
      <c r="A43" s="52" t="s">
        <v>415</v>
      </c>
      <c r="B43" s="65">
        <f>(B39-D16*B37)*B42/B39</f>
        <v>1.4233493872301066E-2</v>
      </c>
      <c r="C43" s="34"/>
      <c r="D43" s="34"/>
      <c r="E43" s="34"/>
      <c r="F43" s="34"/>
      <c r="G43" s="34"/>
      <c r="H43" s="34"/>
      <c r="I43" s="34"/>
    </row>
    <row r="44" spans="1:9" ht="43.5" customHeight="1" x14ac:dyDescent="0.3">
      <c r="A44" s="58" t="s">
        <v>416</v>
      </c>
      <c r="B44" s="64">
        <f>B41+B43</f>
        <v>4.7627881290318988E-2</v>
      </c>
      <c r="C44" s="54" t="s">
        <v>417</v>
      </c>
      <c r="D44" s="34"/>
      <c r="E44" s="34"/>
      <c r="F44" s="34"/>
      <c r="G44" s="34"/>
      <c r="H44" s="34"/>
      <c r="I44" s="34"/>
    </row>
    <row r="45" spans="1:9" ht="14.25" customHeight="1" x14ac:dyDescent="0.3">
      <c r="A45" s="34"/>
      <c r="B45" s="34"/>
      <c r="C45" s="34"/>
      <c r="D45" s="34"/>
      <c r="E45" s="34"/>
      <c r="F45" s="34"/>
      <c r="G45" s="34"/>
      <c r="H45" s="34"/>
      <c r="I45" s="34"/>
    </row>
    <row r="46" spans="1:9" ht="14.25" customHeight="1" x14ac:dyDescent="0.3">
      <c r="A46" s="38" t="s">
        <v>418</v>
      </c>
      <c r="B46" s="34"/>
      <c r="C46" s="34"/>
      <c r="D46" s="34"/>
      <c r="E46" s="34"/>
      <c r="F46" s="34"/>
      <c r="G46" s="34"/>
      <c r="H46" s="34"/>
      <c r="I46" s="34"/>
    </row>
    <row r="47" spans="1:9" ht="14.25" customHeight="1" x14ac:dyDescent="0.3">
      <c r="A47" s="39" t="s">
        <v>419</v>
      </c>
      <c r="B47" s="34"/>
      <c r="C47" s="34"/>
      <c r="D47" s="34"/>
      <c r="E47" s="34"/>
      <c r="F47" s="34"/>
      <c r="G47" s="34"/>
      <c r="H47" s="34"/>
      <c r="I47" s="34"/>
    </row>
    <row r="48" spans="1:9" ht="14.25" customHeight="1" x14ac:dyDescent="0.3">
      <c r="A48" s="34"/>
      <c r="B48" s="34"/>
      <c r="C48" s="34"/>
      <c r="D48" s="34"/>
      <c r="E48" s="34"/>
      <c r="F48" s="34"/>
      <c r="G48" s="34"/>
      <c r="H48" s="34"/>
      <c r="I48" s="34"/>
    </row>
    <row r="49" spans="1:9" ht="14.25" customHeight="1" x14ac:dyDescent="0.3">
      <c r="A49" s="34"/>
      <c r="B49" s="34"/>
      <c r="C49" s="34"/>
      <c r="D49" s="34"/>
      <c r="E49" s="34"/>
      <c r="F49" s="34"/>
      <c r="G49" s="34"/>
      <c r="H49" s="34"/>
      <c r="I49" s="34"/>
    </row>
    <row r="50" spans="1:9" ht="14.25" customHeight="1" x14ac:dyDescent="0.3">
      <c r="A50" s="37" t="s">
        <v>420</v>
      </c>
      <c r="B50" s="34"/>
      <c r="C50" s="34"/>
      <c r="D50" s="34"/>
      <c r="E50" s="34"/>
      <c r="F50" s="34"/>
      <c r="G50" s="34"/>
      <c r="H50" s="34"/>
      <c r="I50" s="34"/>
    </row>
    <row r="51" spans="1:9" ht="14.25" customHeight="1" x14ac:dyDescent="0.3">
      <c r="A51" s="40" t="s">
        <v>421</v>
      </c>
      <c r="B51" s="41" t="s">
        <v>422</v>
      </c>
      <c r="C51" s="41" t="s">
        <v>423</v>
      </c>
      <c r="D51" s="34"/>
      <c r="E51" s="34"/>
      <c r="F51" s="34"/>
      <c r="G51" s="34"/>
      <c r="H51" s="34"/>
      <c r="I51" s="34"/>
    </row>
    <row r="52" spans="1:9" ht="54.75" customHeight="1" x14ac:dyDescent="0.3">
      <c r="A52" s="52" t="s">
        <v>424</v>
      </c>
      <c r="B52" s="85">
        <f>'Investment Build'!B13</f>
        <v>4.3588621633958935E-2</v>
      </c>
      <c r="C52" s="54" t="s">
        <v>425</v>
      </c>
      <c r="D52" s="34"/>
      <c r="E52" s="34"/>
      <c r="F52" s="34"/>
      <c r="G52" s="34"/>
      <c r="H52" s="34"/>
      <c r="I52" s="34"/>
    </row>
    <row r="53" spans="1:9" ht="33" customHeight="1" x14ac:dyDescent="0.3">
      <c r="A53" s="52" t="s">
        <v>426</v>
      </c>
      <c r="B53" s="71">
        <f>B44</f>
        <v>4.7627881290318988E-2</v>
      </c>
      <c r="C53" s="54" t="s">
        <v>427</v>
      </c>
      <c r="D53" s="34"/>
      <c r="E53" s="34"/>
      <c r="F53" s="34"/>
      <c r="G53" s="34"/>
      <c r="H53" s="34"/>
      <c r="I53" s="34"/>
    </row>
    <row r="54" spans="1:9" ht="33" customHeight="1" x14ac:dyDescent="0.3">
      <c r="A54" s="58" t="s">
        <v>428</v>
      </c>
      <c r="B54" s="86">
        <f>B53-B52</f>
        <v>4.039259656360053E-3</v>
      </c>
      <c r="C54" s="54" t="s">
        <v>429</v>
      </c>
      <c r="D54" s="34"/>
      <c r="E54" s="34"/>
      <c r="F54" s="34"/>
      <c r="G54" s="34"/>
      <c r="H54" s="34"/>
      <c r="I54" s="34"/>
    </row>
    <row r="55" spans="1:9" ht="14.25" customHeight="1" x14ac:dyDescent="0.3">
      <c r="A55" s="34"/>
      <c r="B55" s="34"/>
      <c r="C55" s="34"/>
      <c r="D55" s="34"/>
      <c r="E55" s="34"/>
      <c r="F55" s="34"/>
      <c r="G55" s="34"/>
      <c r="H55" s="34"/>
      <c r="I55" s="34"/>
    </row>
    <row r="56" spans="1:9" ht="14.25" customHeight="1" x14ac:dyDescent="0.3">
      <c r="A56" s="38" t="s">
        <v>430</v>
      </c>
      <c r="B56" s="34"/>
      <c r="C56" s="34"/>
      <c r="D56" s="34"/>
      <c r="E56" s="34"/>
      <c r="F56" s="34"/>
      <c r="G56" s="34"/>
      <c r="H56" s="34"/>
      <c r="I56" s="34"/>
    </row>
    <row r="57" spans="1:9" ht="14.25" customHeight="1" x14ac:dyDescent="0.3">
      <c r="A57" s="39" t="s">
        <v>431</v>
      </c>
      <c r="B57" s="34"/>
      <c r="C57" s="34"/>
      <c r="D57" s="34"/>
      <c r="E57" s="34"/>
      <c r="F57" s="34"/>
      <c r="G57" s="34"/>
      <c r="H57" s="34"/>
      <c r="I57" s="34"/>
    </row>
    <row r="58" spans="1:9" ht="14.25" customHeight="1" x14ac:dyDescent="0.3">
      <c r="A58" s="39" t="s">
        <v>432</v>
      </c>
      <c r="B58" s="34"/>
      <c r="C58" s="34"/>
      <c r="D58" s="34"/>
      <c r="E58" s="34"/>
      <c r="F58" s="34"/>
      <c r="G58" s="34"/>
      <c r="H58" s="34"/>
      <c r="I58" s="34"/>
    </row>
    <row r="59" spans="1:9" ht="14.25" customHeight="1" x14ac:dyDescent="0.3">
      <c r="A59" s="34"/>
      <c r="B59" s="34"/>
      <c r="C59" s="34"/>
      <c r="D59" s="34"/>
      <c r="E59" s="34"/>
      <c r="F59" s="34"/>
      <c r="G59" s="34"/>
      <c r="H59" s="34"/>
      <c r="I59" s="34"/>
    </row>
    <row r="60" spans="1:9" ht="14.25" customHeight="1" x14ac:dyDescent="0.3">
      <c r="A60" s="37" t="s">
        <v>433</v>
      </c>
      <c r="B60" s="34"/>
      <c r="C60" s="34"/>
      <c r="D60" s="34"/>
      <c r="E60" s="34"/>
      <c r="F60" s="34"/>
      <c r="G60" s="34"/>
      <c r="H60" s="34"/>
      <c r="I60" s="34"/>
    </row>
    <row r="61" spans="1:9" ht="65.25" customHeight="1" x14ac:dyDescent="0.3">
      <c r="A61" s="40" t="s">
        <v>391</v>
      </c>
      <c r="B61" s="41" t="s">
        <v>392</v>
      </c>
      <c r="C61" s="41" t="s">
        <v>434</v>
      </c>
      <c r="D61" s="41" t="s">
        <v>435</v>
      </c>
      <c r="E61" s="41" t="s">
        <v>436</v>
      </c>
      <c r="F61" s="34"/>
      <c r="G61" s="34"/>
      <c r="H61" s="34"/>
      <c r="I61" s="34"/>
    </row>
    <row r="62" spans="1:9" ht="14.25" customHeight="1" x14ac:dyDescent="0.3">
      <c r="A62" s="68" t="s">
        <v>437</v>
      </c>
      <c r="B62" s="87">
        <f>B25</f>
        <v>593.54</v>
      </c>
      <c r="C62" s="71">
        <f>(B25-D16)*B37/B39+(B39-D16*B37)*B42/B39</f>
        <v>3.4615680189033722E-2</v>
      </c>
      <c r="D62" s="85">
        <f>'Investment Build'!B13</f>
        <v>4.3588621633958935E-2</v>
      </c>
      <c r="E62" s="71">
        <f>0.68*SUMMARY!C6+0.18*C62+0.17*SUMMARY!C8+(-0.03)*SUMMARY!C9</f>
        <v>5.0813605929778301E-2</v>
      </c>
      <c r="F62" s="34"/>
      <c r="G62" s="34"/>
      <c r="H62" s="34"/>
      <c r="I62" s="34"/>
    </row>
    <row r="63" spans="1:9" ht="14.25" customHeight="1" x14ac:dyDescent="0.3">
      <c r="A63" s="68" t="s">
        <v>438</v>
      </c>
      <c r="B63" s="87">
        <f>B26</f>
        <v>809.62789832055978</v>
      </c>
      <c r="C63" s="71">
        <f>(B26-D16)*B37/B39+(B39-D16*B37)*B42/B39</f>
        <v>6.0640082391604254E-2</v>
      </c>
      <c r="D63" s="85">
        <f>'Investment Build'!B13</f>
        <v>4.3588621633958935E-2</v>
      </c>
      <c r="E63" s="71">
        <f>0.68*SUMMARY!C6+0.18*C63+0.17*SUMMARY!C8+(-0.03)*SUMMARY!C9</f>
        <v>5.5497998326240999E-2</v>
      </c>
      <c r="F63" s="34"/>
      <c r="G63" s="34"/>
      <c r="H63" s="34"/>
      <c r="I63" s="34"/>
    </row>
    <row r="64" spans="1:9" ht="14.25" customHeight="1" x14ac:dyDescent="0.3">
      <c r="A64" s="68" t="s">
        <v>439</v>
      </c>
      <c r="B64" s="87">
        <f>B27</f>
        <v>701.58394916027987</v>
      </c>
      <c r="C64" s="71">
        <f>(B27-D16)*B37/B39+(B39-D16*B37)*B42/B39</f>
        <v>4.7627881290318988E-2</v>
      </c>
      <c r="D64" s="85">
        <f>'Investment Build'!B13</f>
        <v>4.3588621633958935E-2</v>
      </c>
      <c r="E64" s="71">
        <f>0.68*SUMMARY!C6+0.18*C64+0.17*SUMMARY!C8+(-0.03)*SUMMARY!C9</f>
        <v>5.3155802128009647E-2</v>
      </c>
      <c r="F64" s="34"/>
      <c r="G64" s="34"/>
      <c r="H64" s="34"/>
      <c r="I64" s="34"/>
    </row>
    <row r="65" spans="1:9" ht="14.25" customHeight="1" x14ac:dyDescent="0.3">
      <c r="A65" s="34"/>
      <c r="B65" s="34"/>
      <c r="C65" s="34"/>
      <c r="D65" s="34"/>
      <c r="E65" s="34"/>
      <c r="F65" s="34"/>
      <c r="G65" s="34"/>
      <c r="H65" s="34"/>
      <c r="I65" s="34"/>
    </row>
    <row r="66" spans="1:9" ht="14.25" customHeight="1" x14ac:dyDescent="0.3">
      <c r="A66" s="38" t="s">
        <v>440</v>
      </c>
      <c r="B66" s="34"/>
      <c r="C66" s="34"/>
      <c r="D66" s="34"/>
      <c r="E66" s="34"/>
      <c r="F66" s="34"/>
      <c r="G66" s="34"/>
      <c r="H66" s="34"/>
      <c r="I66" s="34"/>
    </row>
    <row r="67" spans="1:9" ht="14.25" customHeight="1" x14ac:dyDescent="0.3">
      <c r="A67" s="39" t="s">
        <v>441</v>
      </c>
      <c r="B67" s="34"/>
      <c r="C67" s="34"/>
      <c r="D67" s="34"/>
      <c r="E67" s="34"/>
      <c r="F67" s="34"/>
      <c r="G67" s="34"/>
      <c r="H67" s="34"/>
      <c r="I67" s="34"/>
    </row>
    <row r="68" spans="1:9" ht="14.25" customHeight="1" x14ac:dyDescent="0.3">
      <c r="A68" s="39" t="s">
        <v>442</v>
      </c>
      <c r="B68" s="34"/>
      <c r="C68" s="34"/>
      <c r="D68" s="34"/>
      <c r="E68" s="34"/>
      <c r="F68" s="34"/>
      <c r="G68" s="34"/>
      <c r="H68" s="34"/>
      <c r="I68" s="34"/>
    </row>
    <row r="69" spans="1:9" ht="14.25" customHeight="1" x14ac:dyDescent="0.3">
      <c r="A69" s="39" t="s">
        <v>443</v>
      </c>
      <c r="B69" s="34"/>
      <c r="C69" s="34"/>
      <c r="D69" s="34"/>
      <c r="E69" s="34"/>
      <c r="F69" s="34"/>
      <c r="G69" s="34"/>
      <c r="H69" s="34"/>
      <c r="I69" s="34"/>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0"/>
  <sheetViews>
    <sheetView zoomScaleNormal="100" workbookViewId="0">
      <selection sqref="A1:XFD1048576"/>
    </sheetView>
  </sheetViews>
  <sheetFormatPr defaultColWidth="8.6328125" defaultRowHeight="14" x14ac:dyDescent="0.3"/>
  <cols>
    <col min="1" max="1" width="48" style="48" customWidth="1"/>
    <col min="2" max="2" width="16" style="48" customWidth="1"/>
    <col min="3" max="3" width="64" style="48" customWidth="1"/>
    <col min="4" max="16384" width="8.6328125" style="48"/>
  </cols>
  <sheetData>
    <row r="1" spans="1:3" ht="18" customHeight="1" x14ac:dyDescent="0.4">
      <c r="A1" s="51" t="s">
        <v>22</v>
      </c>
      <c r="B1" s="34"/>
      <c r="C1" s="34"/>
    </row>
    <row r="2" spans="1:3" ht="14.25" customHeight="1" x14ac:dyDescent="0.3">
      <c r="A2" s="39" t="s">
        <v>444</v>
      </c>
      <c r="B2" s="34"/>
      <c r="C2" s="34"/>
    </row>
    <row r="3" spans="1:3" ht="14.25" customHeight="1" x14ac:dyDescent="0.3">
      <c r="A3" s="34"/>
      <c r="B3" s="34"/>
      <c r="C3" s="34"/>
    </row>
    <row r="4" spans="1:3" ht="14.25" customHeight="1" x14ac:dyDescent="0.3">
      <c r="A4" s="37" t="s">
        <v>338</v>
      </c>
      <c r="B4" s="34"/>
      <c r="C4" s="34"/>
    </row>
    <row r="5" spans="1:3" ht="14.25" customHeight="1" x14ac:dyDescent="0.3">
      <c r="A5" s="40" t="s">
        <v>145</v>
      </c>
      <c r="B5" s="41" t="s">
        <v>146</v>
      </c>
      <c r="C5" s="41" t="s">
        <v>163</v>
      </c>
    </row>
    <row r="6" spans="1:3" ht="14.25" customHeight="1" x14ac:dyDescent="0.3">
      <c r="A6" s="52" t="s">
        <v>339</v>
      </c>
      <c r="B6" s="62">
        <f>AVERAGE('BEA Source Data'!F45:F48)/AVERAGE('BEA Source Data'!F41:F44)-1</f>
        <v>4.6409510064532089E-2</v>
      </c>
      <c r="C6" s="54" t="s">
        <v>340</v>
      </c>
    </row>
    <row r="7" spans="1:3" ht="14.25" customHeight="1" x14ac:dyDescent="0.3">
      <c r="A7" s="52" t="s">
        <v>341</v>
      </c>
      <c r="B7" s="62">
        <f>'BEA Source Data'!F49/'BEA Source Data'!F45-1</f>
        <v>4.2574781297029851E-2</v>
      </c>
      <c r="C7" s="54" t="s">
        <v>342</v>
      </c>
    </row>
    <row r="8" spans="1:3" ht="14.25" customHeight="1" x14ac:dyDescent="0.3">
      <c r="A8" s="52" t="s">
        <v>343</v>
      </c>
      <c r="B8" s="62">
        <f>('BEA Source Data'!F49/'BEA Source Data'!F48)^4-1</f>
        <v>5.5933241712198711E-2</v>
      </c>
      <c r="C8" s="54" t="s">
        <v>344</v>
      </c>
    </row>
    <row r="9" spans="1:3" ht="14.25" customHeight="1" x14ac:dyDescent="0.3">
      <c r="A9" s="34"/>
      <c r="B9" s="34"/>
      <c r="C9" s="34"/>
    </row>
    <row r="10" spans="1:3" ht="14.25" customHeight="1" x14ac:dyDescent="0.3">
      <c r="A10" s="37" t="s">
        <v>345</v>
      </c>
      <c r="B10" s="34"/>
      <c r="C10" s="34"/>
    </row>
    <row r="11" spans="1:3" ht="14.25" customHeight="1" x14ac:dyDescent="0.3">
      <c r="A11" s="40" t="s">
        <v>162</v>
      </c>
      <c r="B11" s="41" t="s">
        <v>146</v>
      </c>
      <c r="C11" s="41" t="s">
        <v>163</v>
      </c>
    </row>
    <row r="12" spans="1:3" ht="14.25" customHeight="1" x14ac:dyDescent="0.3">
      <c r="A12" s="52" t="s">
        <v>346</v>
      </c>
      <c r="B12" s="60">
        <v>0.5</v>
      </c>
      <c r="C12" s="54" t="s">
        <v>347</v>
      </c>
    </row>
    <row r="13" spans="1:3" ht="14.25" customHeight="1" x14ac:dyDescent="0.3">
      <c r="A13" s="52" t="s">
        <v>348</v>
      </c>
      <c r="B13" s="65">
        <f>B6*B12+B7*(1-B12)</f>
        <v>4.449214568078097E-2</v>
      </c>
      <c r="C13" s="54" t="s">
        <v>349</v>
      </c>
    </row>
    <row r="14" spans="1:3" ht="21.75" customHeight="1" x14ac:dyDescent="0.3">
      <c r="A14" s="52" t="s">
        <v>445</v>
      </c>
      <c r="B14" s="67">
        <v>0</v>
      </c>
      <c r="C14" s="54" t="s">
        <v>446</v>
      </c>
    </row>
    <row r="15" spans="1:3" ht="14.25" customHeight="1" x14ac:dyDescent="0.3">
      <c r="A15" s="58" t="s">
        <v>352</v>
      </c>
      <c r="B15" s="64">
        <f>B13+B14</f>
        <v>4.449214568078097E-2</v>
      </c>
      <c r="C15" s="34"/>
    </row>
    <row r="16" spans="1:3" ht="14.25" customHeight="1" x14ac:dyDescent="0.3">
      <c r="A16" s="34"/>
      <c r="B16" s="34"/>
      <c r="C16" s="34"/>
    </row>
    <row r="17" spans="1:3" ht="14.25" customHeight="1" x14ac:dyDescent="0.3">
      <c r="A17" s="38" t="s">
        <v>447</v>
      </c>
      <c r="B17" s="34"/>
      <c r="C17" s="34"/>
    </row>
    <row r="18" spans="1:3" ht="14.25" customHeight="1" x14ac:dyDescent="0.3">
      <c r="A18" s="39" t="s">
        <v>448</v>
      </c>
      <c r="B18" s="34"/>
      <c r="C18" s="34"/>
    </row>
    <row r="19" spans="1:3" ht="14.25" customHeight="1" x14ac:dyDescent="0.3">
      <c r="A19" s="39" t="s">
        <v>449</v>
      </c>
      <c r="B19" s="34"/>
      <c r="C19" s="34"/>
    </row>
    <row r="20" spans="1:3" ht="14.25" customHeight="1" x14ac:dyDescent="0.3">
      <c r="A20" s="39" t="s">
        <v>450</v>
      </c>
      <c r="B20" s="34"/>
      <c r="C20" s="34"/>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2"/>
  <sheetViews>
    <sheetView zoomScaleNormal="100" workbookViewId="0">
      <selection sqref="A1:XFD1048576"/>
    </sheetView>
  </sheetViews>
  <sheetFormatPr defaultColWidth="8.6328125" defaultRowHeight="14" x14ac:dyDescent="0.3"/>
  <cols>
    <col min="1" max="1" width="48" style="48" customWidth="1"/>
    <col min="2" max="3" width="18" style="48" customWidth="1"/>
    <col min="4" max="4" width="24" style="48" customWidth="1"/>
    <col min="5" max="16384" width="8.6328125" style="48"/>
  </cols>
  <sheetData>
    <row r="1" spans="1:4" ht="18" customHeight="1" x14ac:dyDescent="0.4">
      <c r="A1" s="51" t="s">
        <v>25</v>
      </c>
      <c r="B1" s="34"/>
      <c r="C1" s="34"/>
      <c r="D1" s="34"/>
    </row>
    <row r="2" spans="1:4" ht="14.25" customHeight="1" x14ac:dyDescent="0.3">
      <c r="A2" s="39" t="s">
        <v>451</v>
      </c>
      <c r="B2" s="34"/>
      <c r="C2" s="34"/>
      <c r="D2" s="34"/>
    </row>
    <row r="3" spans="1:4" ht="14.25" customHeight="1" x14ac:dyDescent="0.3">
      <c r="A3" s="34"/>
      <c r="B3" s="34"/>
      <c r="C3" s="34"/>
      <c r="D3" s="34"/>
    </row>
    <row r="4" spans="1:4" ht="14.25" customHeight="1" x14ac:dyDescent="0.3">
      <c r="A4" s="37" t="s">
        <v>452</v>
      </c>
      <c r="B4" s="34"/>
      <c r="C4" s="34"/>
      <c r="D4" s="34"/>
    </row>
    <row r="5" spans="1:4" ht="14.25" customHeight="1" x14ac:dyDescent="0.3">
      <c r="A5" s="40" t="s">
        <v>145</v>
      </c>
      <c r="B5" s="41" t="s">
        <v>146</v>
      </c>
      <c r="C5" s="41" t="s">
        <v>163</v>
      </c>
      <c r="D5" s="34"/>
    </row>
    <row r="6" spans="1:4" ht="21.75" customHeight="1" x14ac:dyDescent="0.3">
      <c r="A6" s="52" t="s">
        <v>453</v>
      </c>
      <c r="B6" s="88">
        <f>AVERAGE('BEA Source Data'!G46:G49)</f>
        <v>-815.32500000000005</v>
      </c>
      <c r="C6" s="54" t="s">
        <v>454</v>
      </c>
      <c r="D6" s="34"/>
    </row>
    <row r="7" spans="1:4" ht="33" customHeight="1" x14ac:dyDescent="0.3">
      <c r="A7" s="52" t="s">
        <v>455</v>
      </c>
      <c r="B7" s="88">
        <f>AVERAGE('BEA Source Data'!G42:G45)</f>
        <v>-922.6483750000001</v>
      </c>
      <c r="C7" s="54" t="s">
        <v>456</v>
      </c>
      <c r="D7" s="34"/>
    </row>
    <row r="8" spans="1:4" ht="33" customHeight="1" x14ac:dyDescent="0.3">
      <c r="A8" s="58" t="s">
        <v>457</v>
      </c>
      <c r="B8" s="83">
        <f>B6/B7-1</f>
        <v>-0.11632099281592523</v>
      </c>
      <c r="C8" s="54" t="s">
        <v>458</v>
      </c>
      <c r="D8" s="34"/>
    </row>
    <row r="9" spans="1:4" ht="14.25" customHeight="1" x14ac:dyDescent="0.3">
      <c r="A9" s="34"/>
      <c r="B9" s="34"/>
      <c r="C9" s="34"/>
      <c r="D9" s="34"/>
    </row>
    <row r="10" spans="1:4" ht="14.25" customHeight="1" x14ac:dyDescent="0.3">
      <c r="A10" s="38" t="s">
        <v>459</v>
      </c>
      <c r="B10" s="34"/>
      <c r="C10" s="34"/>
      <c r="D10" s="34"/>
    </row>
    <row r="11" spans="1:4" ht="14.25" customHeight="1" x14ac:dyDescent="0.3">
      <c r="A11" s="39" t="s">
        <v>460</v>
      </c>
      <c r="B11" s="34"/>
      <c r="C11" s="34"/>
      <c r="D11" s="34"/>
    </row>
    <row r="12" spans="1:4" ht="14.25" customHeight="1" x14ac:dyDescent="0.3">
      <c r="A12" s="39" t="s">
        <v>461</v>
      </c>
      <c r="B12" s="34"/>
      <c r="C12" s="34"/>
      <c r="D12" s="34"/>
    </row>
    <row r="13" spans="1:4" ht="14.25" customHeight="1" x14ac:dyDescent="0.3">
      <c r="A13" s="39" t="s">
        <v>462</v>
      </c>
      <c r="B13" s="34"/>
      <c r="C13" s="34"/>
      <c r="D13" s="34"/>
    </row>
    <row r="14" spans="1:4" ht="14.25" customHeight="1" x14ac:dyDescent="0.3">
      <c r="A14" s="34"/>
      <c r="B14" s="34"/>
      <c r="C14" s="34"/>
      <c r="D14" s="34"/>
    </row>
    <row r="15" spans="1:4" ht="14.25" customHeight="1" x14ac:dyDescent="0.3">
      <c r="A15" s="34"/>
      <c r="B15" s="34"/>
      <c r="C15" s="34"/>
      <c r="D15" s="34"/>
    </row>
    <row r="16" spans="1:4" ht="14.25" customHeight="1" x14ac:dyDescent="0.3">
      <c r="A16" s="37" t="s">
        <v>463</v>
      </c>
      <c r="B16" s="34"/>
      <c r="C16" s="34"/>
      <c r="D16" s="34"/>
    </row>
    <row r="17" spans="1:4" ht="14.25" customHeight="1" x14ac:dyDescent="0.3">
      <c r="A17" s="40" t="s">
        <v>464</v>
      </c>
      <c r="B17" s="41" t="s">
        <v>465</v>
      </c>
      <c r="C17" s="41" t="s">
        <v>466</v>
      </c>
      <c r="D17" s="41" t="s">
        <v>467</v>
      </c>
    </row>
    <row r="18" spans="1:4" ht="14.25" customHeight="1" x14ac:dyDescent="0.3">
      <c r="A18" s="52">
        <v>2015</v>
      </c>
      <c r="B18" s="89">
        <v>18295</v>
      </c>
      <c r="C18" s="76">
        <v>524.29999999999995</v>
      </c>
      <c r="D18" s="90">
        <f t="shared" ref="D18:D28" si="0">C18/B18</f>
        <v>2.8658103306914456E-2</v>
      </c>
    </row>
    <row r="19" spans="1:4" ht="14.25" customHeight="1" x14ac:dyDescent="0.3">
      <c r="A19" s="52">
        <v>2016</v>
      </c>
      <c r="B19" s="89">
        <v>18804.900000000001</v>
      </c>
      <c r="C19" s="76">
        <v>-503.3</v>
      </c>
      <c r="D19" s="90">
        <f t="shared" si="0"/>
        <v>-2.6764300793942004E-2</v>
      </c>
    </row>
    <row r="20" spans="1:4" ht="14.25" customHeight="1" x14ac:dyDescent="0.3">
      <c r="A20" s="52">
        <v>2017</v>
      </c>
      <c r="B20" s="89">
        <v>19612.099999999999</v>
      </c>
      <c r="C20" s="76">
        <v>-543.29999999999995</v>
      </c>
      <c r="D20" s="90">
        <f t="shared" si="0"/>
        <v>-2.7702285833745493E-2</v>
      </c>
    </row>
    <row r="21" spans="1:4" ht="14.25" customHeight="1" x14ac:dyDescent="0.3">
      <c r="A21" s="52">
        <v>2018</v>
      </c>
      <c r="B21" s="89">
        <v>20656.5</v>
      </c>
      <c r="C21" s="76">
        <v>-593.1</v>
      </c>
      <c r="D21" s="90">
        <f t="shared" si="0"/>
        <v>-2.8712511800159757E-2</v>
      </c>
    </row>
    <row r="22" spans="1:4" ht="14.25" customHeight="1" x14ac:dyDescent="0.3">
      <c r="A22" s="52">
        <v>2019</v>
      </c>
      <c r="B22" s="89">
        <v>21540</v>
      </c>
      <c r="C22" s="76">
        <v>-577.29999999999995</v>
      </c>
      <c r="D22" s="90">
        <f t="shared" si="0"/>
        <v>-2.6801299907149488E-2</v>
      </c>
    </row>
    <row r="23" spans="1:4" ht="14.25" customHeight="1" x14ac:dyDescent="0.3">
      <c r="A23" s="52">
        <v>2020</v>
      </c>
      <c r="B23" s="89">
        <v>21375.3</v>
      </c>
      <c r="C23" s="76">
        <v>-618.6</v>
      </c>
      <c r="D23" s="90">
        <f t="shared" si="0"/>
        <v>-2.8939944702530494E-2</v>
      </c>
    </row>
    <row r="24" spans="1:4" ht="14.25" customHeight="1" x14ac:dyDescent="0.3">
      <c r="A24" s="52">
        <v>2021</v>
      </c>
      <c r="B24" s="89">
        <v>23725.599999999999</v>
      </c>
      <c r="C24" s="76">
        <v>-849.2</v>
      </c>
      <c r="D24" s="90">
        <f t="shared" si="0"/>
        <v>-3.5792561621202416E-2</v>
      </c>
    </row>
    <row r="25" spans="1:4" ht="14.25" customHeight="1" x14ac:dyDescent="0.3">
      <c r="A25" s="52">
        <v>2022</v>
      </c>
      <c r="B25" s="89">
        <v>26054.6</v>
      </c>
      <c r="C25" s="76">
        <v>-937.9</v>
      </c>
      <c r="D25" s="90">
        <f t="shared" si="0"/>
        <v>-3.5997482210435014E-2</v>
      </c>
    </row>
    <row r="26" spans="1:4" ht="14.25" customHeight="1" x14ac:dyDescent="0.3">
      <c r="A26" s="52">
        <v>2023</v>
      </c>
      <c r="B26" s="89">
        <v>27811.5</v>
      </c>
      <c r="C26" s="76">
        <v>-786.5</v>
      </c>
      <c r="D26" s="90">
        <f t="shared" si="0"/>
        <v>-2.827966848246229E-2</v>
      </c>
    </row>
    <row r="27" spans="1:4" ht="14.25" customHeight="1" x14ac:dyDescent="0.3">
      <c r="A27" s="52">
        <v>2024</v>
      </c>
      <c r="B27" s="89">
        <v>29298</v>
      </c>
      <c r="C27" s="76">
        <v>-898.5</v>
      </c>
      <c r="D27" s="90">
        <f t="shared" si="0"/>
        <v>-3.0667622363301249E-2</v>
      </c>
    </row>
    <row r="28" spans="1:4" ht="14.25" customHeight="1" x14ac:dyDescent="0.3">
      <c r="A28" s="52">
        <v>2025</v>
      </c>
      <c r="B28" s="89">
        <v>30779</v>
      </c>
      <c r="C28" s="76">
        <v>-920.8</v>
      </c>
      <c r="D28" s="90">
        <f t="shared" si="0"/>
        <v>-2.991650151077033E-2</v>
      </c>
    </row>
    <row r="29" spans="1:4" ht="14.25" customHeight="1" x14ac:dyDescent="0.3">
      <c r="A29" s="68" t="s">
        <v>468</v>
      </c>
      <c r="B29" s="34"/>
      <c r="C29" s="34"/>
      <c r="D29" s="91">
        <f>AVERAGE(D19:D28)</f>
        <v>-2.9957417922569857E-2</v>
      </c>
    </row>
    <row r="30" spans="1:4" ht="14.25" customHeight="1" x14ac:dyDescent="0.3">
      <c r="A30" s="34"/>
      <c r="B30" s="34"/>
      <c r="C30" s="34"/>
      <c r="D30" s="34"/>
    </row>
    <row r="31" spans="1:4" ht="14.25" customHeight="1" x14ac:dyDescent="0.3">
      <c r="A31" s="38" t="s">
        <v>469</v>
      </c>
      <c r="B31" s="34"/>
      <c r="C31" s="34"/>
      <c r="D31" s="34"/>
    </row>
    <row r="32" spans="1:4" ht="14.25" customHeight="1" x14ac:dyDescent="0.3">
      <c r="A32" s="39" t="s">
        <v>470</v>
      </c>
      <c r="B32" s="34"/>
      <c r="C32" s="34"/>
      <c r="D32" s="34"/>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65"/>
  <sheetViews>
    <sheetView zoomScaleNormal="100" workbookViewId="0">
      <selection sqref="A1:XFD1048576"/>
    </sheetView>
  </sheetViews>
  <sheetFormatPr defaultColWidth="8.6328125" defaultRowHeight="14" x14ac:dyDescent="0.3"/>
  <cols>
    <col min="1" max="1" width="48" style="48" customWidth="1"/>
    <col min="2" max="2" width="26" style="48" customWidth="1"/>
    <col min="3" max="3" width="22" style="48" customWidth="1"/>
    <col min="4" max="5" width="20" style="48" customWidth="1"/>
    <col min="6" max="16384" width="8.6328125" style="48"/>
  </cols>
  <sheetData>
    <row r="1" spans="1:5" ht="18" customHeight="1" x14ac:dyDescent="0.4">
      <c r="A1" s="51" t="s">
        <v>28</v>
      </c>
      <c r="B1" s="34"/>
      <c r="C1" s="34"/>
      <c r="D1" s="34"/>
      <c r="E1" s="34"/>
    </row>
    <row r="2" spans="1:5" ht="14.25" customHeight="1" x14ac:dyDescent="0.3">
      <c r="A2" s="39" t="s">
        <v>471</v>
      </c>
      <c r="B2" s="34"/>
      <c r="C2" s="34"/>
      <c r="D2" s="34"/>
      <c r="E2" s="34"/>
    </row>
    <row r="3" spans="1:5" ht="14.25" customHeight="1" x14ac:dyDescent="0.3">
      <c r="A3" s="34"/>
      <c r="B3" s="34"/>
      <c r="C3" s="34"/>
      <c r="D3" s="34"/>
      <c r="E3" s="34"/>
    </row>
    <row r="4" spans="1:5" ht="14.25" customHeight="1" x14ac:dyDescent="0.3">
      <c r="A4" s="37" t="s">
        <v>472</v>
      </c>
      <c r="B4" s="34"/>
      <c r="C4" s="34"/>
      <c r="D4" s="34"/>
      <c r="E4" s="34"/>
    </row>
    <row r="5" spans="1:5" ht="14.25" customHeight="1" x14ac:dyDescent="0.3">
      <c r="A5" s="40" t="s">
        <v>234</v>
      </c>
      <c r="B5" s="41" t="s">
        <v>146</v>
      </c>
      <c r="C5" s="41" t="s">
        <v>75</v>
      </c>
      <c r="D5" s="34"/>
      <c r="E5" s="34"/>
    </row>
    <row r="6" spans="1:5" ht="21.75" customHeight="1" x14ac:dyDescent="0.3">
      <c r="A6" s="52" t="s">
        <v>473</v>
      </c>
      <c r="B6" s="67">
        <v>4.7765000000000002E-2</v>
      </c>
      <c r="C6" s="54" t="s">
        <v>474</v>
      </c>
      <c r="D6" s="34"/>
      <c r="E6" s="34"/>
    </row>
    <row r="7" spans="1:5" ht="43.5" customHeight="1" x14ac:dyDescent="0.3">
      <c r="A7" s="52" t="s">
        <v>475</v>
      </c>
      <c r="B7" s="67">
        <v>4.0569000000000001E-2</v>
      </c>
      <c r="C7" s="54" t="s">
        <v>476</v>
      </c>
      <c r="D7" s="34"/>
      <c r="E7" s="34"/>
    </row>
    <row r="8" spans="1:5" ht="33" customHeight="1" x14ac:dyDescent="0.3">
      <c r="A8" s="52" t="s">
        <v>477</v>
      </c>
      <c r="B8" s="67">
        <v>7.1960000000000001E-3</v>
      </c>
      <c r="C8" s="54" t="s">
        <v>478</v>
      </c>
      <c r="D8" s="34"/>
      <c r="E8" s="34"/>
    </row>
    <row r="9" spans="1:5" ht="21.75" customHeight="1" x14ac:dyDescent="0.3">
      <c r="A9" s="52" t="s">
        <v>479</v>
      </c>
      <c r="B9" s="65">
        <f>B7+B8</f>
        <v>4.7765000000000002E-2</v>
      </c>
      <c r="C9" s="54" t="s">
        <v>480</v>
      </c>
      <c r="D9" s="34"/>
      <c r="E9" s="34"/>
    </row>
    <row r="10" spans="1:5" ht="14.25" customHeight="1" x14ac:dyDescent="0.3">
      <c r="A10" s="34"/>
      <c r="B10" s="34"/>
      <c r="C10" s="34"/>
      <c r="D10" s="34"/>
      <c r="E10" s="34"/>
    </row>
    <row r="11" spans="1:5" ht="14.25" customHeight="1" x14ac:dyDescent="0.3">
      <c r="A11" s="37" t="s">
        <v>481</v>
      </c>
      <c r="B11" s="34"/>
      <c r="C11" s="34"/>
      <c r="D11" s="34"/>
      <c r="E11" s="34"/>
    </row>
    <row r="12" spans="1:5" ht="14.25" customHeight="1" x14ac:dyDescent="0.3">
      <c r="A12" s="40" t="s">
        <v>464</v>
      </c>
      <c r="B12" s="41" t="s">
        <v>482</v>
      </c>
      <c r="C12" s="41" t="s">
        <v>78</v>
      </c>
      <c r="D12" s="34"/>
      <c r="E12" s="34"/>
    </row>
    <row r="13" spans="1:5" ht="21.75" customHeight="1" x14ac:dyDescent="0.3">
      <c r="A13" s="52" t="s">
        <v>483</v>
      </c>
      <c r="B13" s="67">
        <v>3.7999999999999999E-2</v>
      </c>
      <c r="C13" s="54" t="s">
        <v>484</v>
      </c>
      <c r="D13" s="34"/>
      <c r="E13" s="34"/>
    </row>
    <row r="14" spans="1:5" ht="14.25" customHeight="1" x14ac:dyDescent="0.3">
      <c r="A14" s="52" t="s">
        <v>485</v>
      </c>
      <c r="B14" s="67">
        <v>3.5999999999999997E-2</v>
      </c>
      <c r="C14" s="54" t="s">
        <v>486</v>
      </c>
      <c r="D14" s="34"/>
      <c r="E14" s="34"/>
    </row>
    <row r="15" spans="1:5" ht="14.25" customHeight="1" x14ac:dyDescent="0.3">
      <c r="A15" s="52" t="s">
        <v>487</v>
      </c>
      <c r="B15" s="67">
        <v>3.4000000000000002E-2</v>
      </c>
      <c r="C15" s="54" t="s">
        <v>486</v>
      </c>
      <c r="D15" s="34"/>
      <c r="E15" s="34"/>
    </row>
    <row r="16" spans="1:5" ht="21.75" customHeight="1" x14ac:dyDescent="0.3">
      <c r="A16" s="52" t="s">
        <v>488</v>
      </c>
      <c r="B16" s="67">
        <v>3.1E-2</v>
      </c>
      <c r="C16" s="54" t="s">
        <v>489</v>
      </c>
      <c r="D16" s="34"/>
      <c r="E16" s="34"/>
    </row>
    <row r="17" spans="1:5" ht="33" customHeight="1" x14ac:dyDescent="0.3">
      <c r="A17" s="52" t="s">
        <v>490</v>
      </c>
      <c r="B17" s="65">
        <f>(B13+B14+B15+B16*7)/10</f>
        <v>3.2500000000000001E-2</v>
      </c>
      <c r="C17" s="54" t="s">
        <v>491</v>
      </c>
      <c r="D17" s="34"/>
      <c r="E17" s="34"/>
    </row>
    <row r="18" spans="1:5" ht="14.25" customHeight="1" x14ac:dyDescent="0.3">
      <c r="A18" s="34"/>
      <c r="B18" s="34"/>
      <c r="C18" s="34"/>
      <c r="D18" s="34"/>
      <c r="E18" s="34"/>
    </row>
    <row r="19" spans="1:5" ht="14.25" customHeight="1" x14ac:dyDescent="0.3">
      <c r="A19" s="37" t="s">
        <v>492</v>
      </c>
      <c r="B19" s="34"/>
      <c r="C19" s="34"/>
      <c r="D19" s="34"/>
      <c r="E19" s="34"/>
    </row>
    <row r="20" spans="1:5" ht="14.25" customHeight="1" x14ac:dyDescent="0.3">
      <c r="A20" s="40" t="s">
        <v>145</v>
      </c>
      <c r="B20" s="41" t="s">
        <v>146</v>
      </c>
      <c r="C20" s="41" t="s">
        <v>493</v>
      </c>
      <c r="D20" s="34"/>
      <c r="E20" s="34"/>
    </row>
    <row r="21" spans="1:5" ht="14.25" customHeight="1" x14ac:dyDescent="0.3">
      <c r="A21" s="52" t="s">
        <v>494</v>
      </c>
      <c r="B21" s="62">
        <f>B7</f>
        <v>4.0569000000000001E-2</v>
      </c>
      <c r="C21" s="34"/>
      <c r="D21" s="34"/>
      <c r="E21" s="34"/>
    </row>
    <row r="22" spans="1:5" ht="14.25" customHeight="1" x14ac:dyDescent="0.3">
      <c r="A22" s="52" t="s">
        <v>495</v>
      </c>
      <c r="B22" s="62">
        <f>B17</f>
        <v>3.2500000000000001E-2</v>
      </c>
      <c r="C22" s="34"/>
      <c r="D22" s="34"/>
      <c r="E22" s="34"/>
    </row>
    <row r="23" spans="1:5" ht="66" customHeight="1" x14ac:dyDescent="0.3">
      <c r="A23" s="58" t="s">
        <v>496</v>
      </c>
      <c r="B23" s="64">
        <f>B21-B22</f>
        <v>8.0689999999999998E-3</v>
      </c>
      <c r="C23" s="54" t="s">
        <v>497</v>
      </c>
      <c r="D23" s="34"/>
      <c r="E23" s="34"/>
    </row>
    <row r="24" spans="1:5" ht="14.25" customHeight="1" x14ac:dyDescent="0.3">
      <c r="A24" s="34"/>
      <c r="B24" s="34"/>
      <c r="C24" s="34"/>
      <c r="D24" s="34"/>
      <c r="E24" s="34"/>
    </row>
    <row r="25" spans="1:5" ht="14.25" customHeight="1" x14ac:dyDescent="0.3">
      <c r="A25" s="38" t="s">
        <v>498</v>
      </c>
      <c r="B25" s="34"/>
      <c r="C25" s="34"/>
      <c r="D25" s="34"/>
      <c r="E25" s="34"/>
    </row>
    <row r="26" spans="1:5" ht="14.25" customHeight="1" x14ac:dyDescent="0.3">
      <c r="A26" s="39" t="s">
        <v>499</v>
      </c>
      <c r="B26" s="34"/>
      <c r="C26" s="34"/>
      <c r="D26" s="34"/>
      <c r="E26" s="34"/>
    </row>
    <row r="27" spans="1:5" ht="14.25" customHeight="1" x14ac:dyDescent="0.3">
      <c r="A27" s="39" t="s">
        <v>500</v>
      </c>
      <c r="B27" s="34"/>
      <c r="C27" s="34"/>
      <c r="D27" s="34"/>
      <c r="E27" s="34"/>
    </row>
    <row r="28" spans="1:5" ht="14.25" customHeight="1" x14ac:dyDescent="0.3">
      <c r="A28" s="34"/>
      <c r="B28" s="34"/>
      <c r="C28" s="34"/>
      <c r="D28" s="34"/>
      <c r="E28" s="34"/>
    </row>
    <row r="29" spans="1:5" ht="14.25" customHeight="1" x14ac:dyDescent="0.3">
      <c r="A29" s="37" t="s">
        <v>501</v>
      </c>
      <c r="B29" s="34"/>
      <c r="C29" s="34"/>
      <c r="D29" s="34"/>
      <c r="E29" s="34"/>
    </row>
    <row r="30" spans="1:5" ht="14.25" customHeight="1" x14ac:dyDescent="0.3">
      <c r="A30" s="40" t="s">
        <v>502</v>
      </c>
      <c r="B30" s="41" t="s">
        <v>146</v>
      </c>
      <c r="C30" s="41" t="s">
        <v>135</v>
      </c>
      <c r="D30" s="34"/>
      <c r="E30" s="34"/>
    </row>
    <row r="31" spans="1:5" ht="54.75" customHeight="1" x14ac:dyDescent="0.3">
      <c r="A31" s="52" t="s">
        <v>503</v>
      </c>
      <c r="B31" s="67">
        <v>4.0500000000000001E-2</v>
      </c>
      <c r="C31" s="54" t="s">
        <v>504</v>
      </c>
      <c r="D31" s="34"/>
      <c r="E31" s="34"/>
    </row>
    <row r="32" spans="1:5" ht="66" customHeight="1" x14ac:dyDescent="0.3">
      <c r="A32" s="52" t="s">
        <v>477</v>
      </c>
      <c r="B32" s="67">
        <v>8.5000000000000006E-3</v>
      </c>
      <c r="C32" s="54" t="s">
        <v>505</v>
      </c>
      <c r="D32" s="34"/>
      <c r="E32" s="34"/>
    </row>
    <row r="33" spans="1:5" ht="14.25" customHeight="1" x14ac:dyDescent="0.3">
      <c r="A33" s="58" t="s">
        <v>154</v>
      </c>
      <c r="B33" s="64">
        <f>B31+B32</f>
        <v>4.9000000000000002E-2</v>
      </c>
      <c r="C33" s="34"/>
      <c r="D33" s="34"/>
      <c r="E33" s="34"/>
    </row>
    <row r="34" spans="1:5" ht="21.75" customHeight="1" x14ac:dyDescent="0.3">
      <c r="A34" s="52" t="s">
        <v>506</v>
      </c>
      <c r="B34" s="65">
        <f>B33-B6</f>
        <v>1.235E-3</v>
      </c>
      <c r="C34" s="54" t="s">
        <v>507</v>
      </c>
      <c r="D34" s="34"/>
      <c r="E34" s="34"/>
    </row>
    <row r="35" spans="1:5" ht="14.25" customHeight="1" x14ac:dyDescent="0.3">
      <c r="A35" s="34"/>
      <c r="B35" s="34"/>
      <c r="C35" s="34"/>
      <c r="D35" s="34"/>
      <c r="E35" s="34"/>
    </row>
    <row r="36" spans="1:5" ht="14.25" customHeight="1" x14ac:dyDescent="0.3">
      <c r="A36" s="37" t="s">
        <v>508</v>
      </c>
      <c r="B36" s="34"/>
      <c r="C36" s="34"/>
      <c r="D36" s="34"/>
      <c r="E36" s="34"/>
    </row>
    <row r="37" spans="1:5" ht="14.25" customHeight="1" x14ac:dyDescent="0.3">
      <c r="A37" s="40" t="s">
        <v>509</v>
      </c>
      <c r="B37" s="41" t="s">
        <v>510</v>
      </c>
      <c r="C37" s="41" t="s">
        <v>511</v>
      </c>
      <c r="D37" s="34"/>
      <c r="E37" s="34"/>
    </row>
    <row r="38" spans="1:5" ht="76.5" customHeight="1" x14ac:dyDescent="0.3">
      <c r="A38" s="68" t="s">
        <v>512</v>
      </c>
      <c r="B38" s="92" t="s">
        <v>513</v>
      </c>
      <c r="C38" s="43" t="s">
        <v>514</v>
      </c>
      <c r="D38" s="34"/>
      <c r="E38" s="34"/>
    </row>
    <row r="39" spans="1:5" ht="54.75" customHeight="1" x14ac:dyDescent="0.3">
      <c r="A39" s="68" t="s">
        <v>515</v>
      </c>
      <c r="B39" s="92" t="s">
        <v>513</v>
      </c>
      <c r="C39" s="43" t="s">
        <v>516</v>
      </c>
      <c r="D39" s="34"/>
      <c r="E39" s="34"/>
    </row>
    <row r="40" spans="1:5" ht="54.75" customHeight="1" x14ac:dyDescent="0.3">
      <c r="A40" s="68" t="s">
        <v>517</v>
      </c>
      <c r="B40" s="92" t="s">
        <v>513</v>
      </c>
      <c r="C40" s="43" t="s">
        <v>518</v>
      </c>
      <c r="D40" s="34"/>
      <c r="E40" s="34"/>
    </row>
    <row r="41" spans="1:5" ht="33" customHeight="1" x14ac:dyDescent="0.3">
      <c r="A41" s="68" t="s">
        <v>519</v>
      </c>
      <c r="B41" s="92" t="s">
        <v>513</v>
      </c>
      <c r="C41" s="43" t="s">
        <v>520</v>
      </c>
      <c r="D41" s="34"/>
      <c r="E41" s="34"/>
    </row>
    <row r="42" spans="1:5" ht="33" customHeight="1" x14ac:dyDescent="0.3">
      <c r="A42" s="68" t="s">
        <v>521</v>
      </c>
      <c r="B42" s="92" t="s">
        <v>513</v>
      </c>
      <c r="C42" s="43" t="s">
        <v>522</v>
      </c>
      <c r="D42" s="34"/>
      <c r="E42" s="34"/>
    </row>
    <row r="43" spans="1:5" ht="14.25" customHeight="1" x14ac:dyDescent="0.3">
      <c r="A43" s="34"/>
      <c r="B43" s="34"/>
      <c r="C43" s="34"/>
      <c r="D43" s="34"/>
      <c r="E43" s="34"/>
    </row>
    <row r="44" spans="1:5" ht="14.25" customHeight="1" x14ac:dyDescent="0.3">
      <c r="A44" s="38" t="s">
        <v>523</v>
      </c>
      <c r="B44" s="34"/>
      <c r="C44" s="34"/>
      <c r="D44" s="34"/>
      <c r="E44" s="34"/>
    </row>
    <row r="45" spans="1:5" ht="14.25" customHeight="1" x14ac:dyDescent="0.3">
      <c r="A45" s="39" t="s">
        <v>524</v>
      </c>
      <c r="B45" s="34"/>
      <c r="C45" s="34"/>
      <c r="D45" s="34"/>
      <c r="E45" s="34"/>
    </row>
    <row r="46" spans="1:5" ht="14.25" customHeight="1" x14ac:dyDescent="0.3">
      <c r="A46" s="39" t="s">
        <v>525</v>
      </c>
      <c r="B46" s="34"/>
      <c r="C46" s="34"/>
      <c r="D46" s="34"/>
      <c r="E46" s="34"/>
    </row>
    <row r="47" spans="1:5" ht="14.25" customHeight="1" x14ac:dyDescent="0.3">
      <c r="A47" s="34"/>
      <c r="B47" s="34"/>
      <c r="C47" s="34"/>
      <c r="D47" s="34"/>
      <c r="E47" s="34"/>
    </row>
    <row r="48" spans="1:5" ht="14.25" customHeight="1" x14ac:dyDescent="0.3">
      <c r="A48" s="37" t="s">
        <v>526</v>
      </c>
      <c r="B48" s="34"/>
      <c r="C48" s="34"/>
      <c r="D48" s="34"/>
      <c r="E48" s="34"/>
    </row>
    <row r="49" spans="1:5" ht="14.25" customHeight="1" x14ac:dyDescent="0.3">
      <c r="A49" s="40" t="s">
        <v>162</v>
      </c>
      <c r="B49" s="41" t="s">
        <v>146</v>
      </c>
      <c r="C49" s="41" t="s">
        <v>163</v>
      </c>
      <c r="D49" s="34"/>
      <c r="E49" s="34"/>
    </row>
    <row r="50" spans="1:5" ht="14.25" customHeight="1" x14ac:dyDescent="0.3">
      <c r="A50" s="52" t="s">
        <v>527</v>
      </c>
      <c r="B50" s="62">
        <f>SUMMARY!B16</f>
        <v>1.754151577422447E-2</v>
      </c>
      <c r="C50" s="34"/>
      <c r="D50" s="34"/>
      <c r="E50" s="34"/>
    </row>
    <row r="51" spans="1:5" ht="14.25" customHeight="1" x14ac:dyDescent="0.3">
      <c r="A51" s="52" t="s">
        <v>149</v>
      </c>
      <c r="B51" s="62">
        <f>'Inflation Build'!D29</f>
        <v>3.4285794805232632E-2</v>
      </c>
      <c r="C51" s="34"/>
      <c r="D51" s="34"/>
      <c r="E51" s="34"/>
    </row>
    <row r="52" spans="1:5" ht="33" customHeight="1" x14ac:dyDescent="0.3">
      <c r="A52" s="52" t="s">
        <v>528</v>
      </c>
      <c r="B52" s="65">
        <f>B50+B51</f>
        <v>5.1827310579457102E-2</v>
      </c>
      <c r="C52" s="54" t="s">
        <v>529</v>
      </c>
      <c r="D52" s="34"/>
      <c r="E52" s="34"/>
    </row>
    <row r="53" spans="1:5" ht="33" customHeight="1" x14ac:dyDescent="0.3">
      <c r="A53" s="52" t="s">
        <v>530</v>
      </c>
      <c r="B53" s="67">
        <v>-0.01</v>
      </c>
      <c r="C53" s="54" t="s">
        <v>531</v>
      </c>
      <c r="D53" s="34"/>
      <c r="E53" s="34"/>
    </row>
    <row r="54" spans="1:5" ht="14.25" customHeight="1" x14ac:dyDescent="0.3">
      <c r="A54" s="58" t="s">
        <v>532</v>
      </c>
      <c r="B54" s="64">
        <f>B52+B53</f>
        <v>4.18273105794571E-2</v>
      </c>
      <c r="C54" s="34"/>
      <c r="D54" s="34"/>
      <c r="E54" s="34"/>
    </row>
    <row r="55" spans="1:5" ht="14.25" customHeight="1" x14ac:dyDescent="0.3">
      <c r="A55" s="34"/>
      <c r="B55" s="34"/>
      <c r="C55" s="34"/>
      <c r="D55" s="34"/>
      <c r="E55" s="34"/>
    </row>
    <row r="56" spans="1:5" ht="14.25" customHeight="1" x14ac:dyDescent="0.3">
      <c r="A56" s="38" t="s">
        <v>533</v>
      </c>
      <c r="B56" s="34"/>
      <c r="C56" s="34"/>
      <c r="D56" s="34"/>
      <c r="E56" s="34"/>
    </row>
    <row r="57" spans="1:5" ht="14.25" customHeight="1" x14ac:dyDescent="0.3">
      <c r="A57" s="39" t="s">
        <v>534</v>
      </c>
      <c r="B57" s="34"/>
      <c r="C57" s="34"/>
      <c r="D57" s="34"/>
      <c r="E57" s="34"/>
    </row>
    <row r="58" spans="1:5" ht="14.25" customHeight="1" x14ac:dyDescent="0.3">
      <c r="A58" s="39" t="s">
        <v>535</v>
      </c>
      <c r="B58" s="34"/>
      <c r="C58" s="34"/>
      <c r="D58" s="34"/>
      <c r="E58" s="34"/>
    </row>
    <row r="59" spans="1:5" ht="14.25" customHeight="1" x14ac:dyDescent="0.3">
      <c r="A59" s="34"/>
      <c r="B59" s="34"/>
      <c r="C59" s="34"/>
      <c r="D59" s="34"/>
      <c r="E59" s="34"/>
    </row>
    <row r="60" spans="1:5" ht="14.25" customHeight="1" x14ac:dyDescent="0.3">
      <c r="A60" s="37" t="s">
        <v>536</v>
      </c>
      <c r="B60" s="34"/>
      <c r="C60" s="34"/>
      <c r="D60" s="34"/>
      <c r="E60" s="34"/>
    </row>
    <row r="61" spans="1:5" ht="26.25" customHeight="1" x14ac:dyDescent="0.3">
      <c r="A61" s="40" t="s">
        <v>537</v>
      </c>
      <c r="B61" s="41" t="s">
        <v>538</v>
      </c>
      <c r="C61" s="41" t="s">
        <v>539</v>
      </c>
      <c r="D61" s="41" t="s">
        <v>540</v>
      </c>
      <c r="E61" s="41" t="s">
        <v>541</v>
      </c>
    </row>
    <row r="62" spans="1:5" ht="14.25" customHeight="1" x14ac:dyDescent="0.3">
      <c r="A62" s="93">
        <v>3.7999999999999999E-2</v>
      </c>
      <c r="B62" s="71">
        <f>A62+0.0072</f>
        <v>4.5199999999999997E-2</v>
      </c>
      <c r="C62" s="71">
        <f>A62+0.0085</f>
        <v>4.65E-2</v>
      </c>
      <c r="D62" s="71">
        <f>A62+0.01</f>
        <v>4.8000000000000001E-2</v>
      </c>
      <c r="E62" s="71">
        <f>A62+0.0125</f>
        <v>5.0500000000000003E-2</v>
      </c>
    </row>
    <row r="63" spans="1:5" ht="14.25" customHeight="1" x14ac:dyDescent="0.3">
      <c r="A63" s="93">
        <v>3.95E-2</v>
      </c>
      <c r="B63" s="71">
        <f>A63+0.0072</f>
        <v>4.6699999999999998E-2</v>
      </c>
      <c r="C63" s="71">
        <f>A63+0.0085</f>
        <v>4.8000000000000001E-2</v>
      </c>
      <c r="D63" s="71">
        <f>A63+0.01</f>
        <v>4.9500000000000002E-2</v>
      </c>
      <c r="E63" s="71">
        <f>A63+0.0125</f>
        <v>5.2000000000000005E-2</v>
      </c>
    </row>
    <row r="64" spans="1:5" ht="14.25" customHeight="1" x14ac:dyDescent="0.3">
      <c r="A64" s="93">
        <v>4.0500000000000001E-2</v>
      </c>
      <c r="B64" s="71">
        <f>A64+0.0072</f>
        <v>4.7699999999999999E-2</v>
      </c>
      <c r="C64" s="94">
        <f>A64+0.0085</f>
        <v>4.9000000000000002E-2</v>
      </c>
      <c r="D64" s="71">
        <f>A64+0.01</f>
        <v>5.0500000000000003E-2</v>
      </c>
      <c r="E64" s="71">
        <f>A64+0.0125</f>
        <v>5.3000000000000005E-2</v>
      </c>
    </row>
    <row r="65" spans="1:5" ht="14.25" customHeight="1" x14ac:dyDescent="0.3">
      <c r="A65" s="93">
        <v>4.2000000000000003E-2</v>
      </c>
      <c r="B65" s="71">
        <f>A65+0.0072</f>
        <v>4.9200000000000001E-2</v>
      </c>
      <c r="C65" s="71">
        <f>A65+0.0085</f>
        <v>5.0500000000000003E-2</v>
      </c>
      <c r="D65" s="71">
        <f>A65+0.01</f>
        <v>5.2000000000000005E-2</v>
      </c>
      <c r="E65" s="71">
        <f>A65+0.0125</f>
        <v>5.4500000000000007E-2</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6"/>
  <sheetViews>
    <sheetView zoomScaleNormal="100" workbookViewId="0">
      <selection sqref="A1:XFD1048576"/>
    </sheetView>
  </sheetViews>
  <sheetFormatPr defaultColWidth="8.6328125" defaultRowHeight="14" x14ac:dyDescent="0.3"/>
  <cols>
    <col min="1" max="1" width="40" style="48" customWidth="1"/>
    <col min="2" max="3" width="22" style="48" customWidth="1"/>
    <col min="4" max="4" width="26" style="48" customWidth="1"/>
    <col min="5" max="5" width="44" style="48" customWidth="1"/>
    <col min="6" max="16384" width="8.6328125" style="48"/>
  </cols>
  <sheetData>
    <row r="1" spans="1:5" ht="18" customHeight="1" x14ac:dyDescent="0.4">
      <c r="A1" s="51" t="s">
        <v>40</v>
      </c>
      <c r="B1" s="34"/>
      <c r="C1" s="34"/>
      <c r="D1" s="34"/>
      <c r="E1" s="34"/>
    </row>
    <row r="2" spans="1:5" ht="14.25" customHeight="1" x14ac:dyDescent="0.3">
      <c r="A2" s="39" t="s">
        <v>542</v>
      </c>
      <c r="B2" s="34"/>
      <c r="C2" s="34"/>
      <c r="D2" s="34"/>
      <c r="E2" s="34"/>
    </row>
    <row r="3" spans="1:5" ht="14.25" customHeight="1" x14ac:dyDescent="0.3">
      <c r="A3" s="34"/>
      <c r="B3" s="34"/>
      <c r="C3" s="34"/>
      <c r="D3" s="34"/>
      <c r="E3" s="34"/>
    </row>
    <row r="4" spans="1:5" ht="14.25" customHeight="1" x14ac:dyDescent="0.3">
      <c r="A4" s="38" t="s">
        <v>543</v>
      </c>
      <c r="B4" s="34"/>
      <c r="C4" s="34"/>
      <c r="D4" s="34"/>
      <c r="E4" s="34"/>
    </row>
    <row r="5" spans="1:5" ht="14.25" customHeight="1" x14ac:dyDescent="0.3">
      <c r="A5" s="39" t="s">
        <v>544</v>
      </c>
      <c r="B5" s="34"/>
      <c r="C5" s="34"/>
      <c r="D5" s="34"/>
      <c r="E5" s="34"/>
    </row>
    <row r="6" spans="1:5" ht="14.25" customHeight="1" x14ac:dyDescent="0.3">
      <c r="A6" s="39" t="s">
        <v>545</v>
      </c>
      <c r="B6" s="34"/>
      <c r="C6" s="34"/>
      <c r="D6" s="34"/>
      <c r="E6" s="34"/>
    </row>
    <row r="7" spans="1:5" ht="14.25" customHeight="1" x14ac:dyDescent="0.3">
      <c r="A7" s="39" t="s">
        <v>546</v>
      </c>
      <c r="B7" s="34"/>
      <c r="C7" s="34"/>
      <c r="D7" s="34"/>
      <c r="E7" s="34"/>
    </row>
    <row r="8" spans="1:5" ht="14.25" customHeight="1" x14ac:dyDescent="0.3">
      <c r="A8" s="34"/>
      <c r="B8" s="34"/>
      <c r="C8" s="34"/>
      <c r="D8" s="34"/>
      <c r="E8" s="34"/>
    </row>
    <row r="9" spans="1:5" ht="14.25" customHeight="1" x14ac:dyDescent="0.3">
      <c r="A9" s="37" t="s">
        <v>547</v>
      </c>
      <c r="B9" s="34"/>
      <c r="C9" s="34"/>
      <c r="D9" s="34"/>
      <c r="E9" s="34"/>
    </row>
    <row r="10" spans="1:5" ht="26.25" customHeight="1" x14ac:dyDescent="0.3">
      <c r="A10" s="40" t="s">
        <v>145</v>
      </c>
      <c r="B10" s="41" t="s">
        <v>548</v>
      </c>
      <c r="C10" s="41" t="s">
        <v>549</v>
      </c>
      <c r="D10" s="41" t="s">
        <v>550</v>
      </c>
      <c r="E10" s="41" t="s">
        <v>75</v>
      </c>
    </row>
    <row r="11" spans="1:5" ht="14.25" customHeight="1" x14ac:dyDescent="0.3">
      <c r="A11" s="42" t="s">
        <v>551</v>
      </c>
      <c r="B11" s="43" t="s">
        <v>552</v>
      </c>
      <c r="C11" s="43" t="s">
        <v>553</v>
      </c>
      <c r="D11" s="43" t="s">
        <v>554</v>
      </c>
      <c r="E11" s="43" t="s">
        <v>555</v>
      </c>
    </row>
    <row r="12" spans="1:5" ht="22.5" customHeight="1" x14ac:dyDescent="0.3">
      <c r="A12" s="42" t="s">
        <v>556</v>
      </c>
      <c r="B12" s="43" t="s">
        <v>557</v>
      </c>
      <c r="C12" s="43" t="s">
        <v>558</v>
      </c>
      <c r="D12" s="43" t="s">
        <v>559</v>
      </c>
      <c r="E12" s="43" t="s">
        <v>560</v>
      </c>
    </row>
    <row r="13" spans="1:5" ht="14.25" customHeight="1" x14ac:dyDescent="0.3">
      <c r="A13" s="42" t="s">
        <v>561</v>
      </c>
      <c r="B13" s="43" t="s">
        <v>562</v>
      </c>
      <c r="C13" s="43" t="s">
        <v>563</v>
      </c>
      <c r="D13" s="43" t="s">
        <v>564</v>
      </c>
      <c r="E13" s="43" t="s">
        <v>565</v>
      </c>
    </row>
    <row r="14" spans="1:5" ht="14.25" customHeight="1" x14ac:dyDescent="0.3">
      <c r="A14" s="42" t="s">
        <v>566</v>
      </c>
      <c r="B14" s="43" t="s">
        <v>567</v>
      </c>
      <c r="C14" s="43" t="s">
        <v>553</v>
      </c>
      <c r="D14" s="43" t="s">
        <v>568</v>
      </c>
      <c r="E14" s="43" t="s">
        <v>555</v>
      </c>
    </row>
    <row r="15" spans="1:5" ht="14.25" customHeight="1" x14ac:dyDescent="0.3">
      <c r="A15" s="42" t="s">
        <v>569</v>
      </c>
      <c r="B15" s="43" t="s">
        <v>570</v>
      </c>
      <c r="C15" s="43" t="s">
        <v>552</v>
      </c>
      <c r="D15" s="43" t="s">
        <v>571</v>
      </c>
      <c r="E15" s="43" t="s">
        <v>572</v>
      </c>
    </row>
    <row r="16" spans="1:5" ht="14.25" customHeight="1" x14ac:dyDescent="0.3">
      <c r="A16" s="34"/>
      <c r="B16" s="34"/>
      <c r="C16" s="34"/>
      <c r="D16" s="34"/>
      <c r="E16" s="34"/>
    </row>
    <row r="17" spans="1:5" ht="14.25" customHeight="1" x14ac:dyDescent="0.3">
      <c r="A17" s="37" t="s">
        <v>573</v>
      </c>
      <c r="B17" s="34"/>
      <c r="C17" s="34"/>
      <c r="D17" s="34"/>
      <c r="E17" s="34"/>
    </row>
    <row r="18" spans="1:5" ht="14.25" customHeight="1" x14ac:dyDescent="0.3">
      <c r="A18" s="40" t="s">
        <v>145</v>
      </c>
      <c r="B18" s="41" t="s">
        <v>574</v>
      </c>
      <c r="C18" s="41" t="s">
        <v>575</v>
      </c>
      <c r="D18" s="41" t="s">
        <v>428</v>
      </c>
      <c r="E18" s="41" t="s">
        <v>576</v>
      </c>
    </row>
    <row r="19" spans="1:5" ht="14.25" customHeight="1" x14ac:dyDescent="0.3">
      <c r="A19" s="42" t="s">
        <v>577</v>
      </c>
      <c r="B19" s="43" t="str">
        <f>TEXT(SUMMARY!B15,"0.0%")</f>
        <v>3.4%</v>
      </c>
      <c r="C19" s="43" t="s">
        <v>578</v>
      </c>
      <c r="D19" s="43" t="s">
        <v>579</v>
      </c>
      <c r="E19" s="43" t="s">
        <v>580</v>
      </c>
    </row>
    <row r="20" spans="1:5" ht="22.5" customHeight="1" x14ac:dyDescent="0.3">
      <c r="A20" s="42" t="s">
        <v>527</v>
      </c>
      <c r="B20" s="43" t="s">
        <v>581</v>
      </c>
      <c r="C20" s="43" t="s">
        <v>568</v>
      </c>
      <c r="D20" s="43" t="s">
        <v>582</v>
      </c>
      <c r="E20" s="43" t="s">
        <v>583</v>
      </c>
    </row>
    <row r="21" spans="1:5" ht="14.25" customHeight="1" x14ac:dyDescent="0.3">
      <c r="A21" s="42" t="s">
        <v>584</v>
      </c>
      <c r="B21" s="43" t="str">
        <f>TEXT(SUMMARY!B21,"0.0%")</f>
        <v>4.9%</v>
      </c>
      <c r="C21" s="43" t="s">
        <v>585</v>
      </c>
      <c r="D21" s="43" t="s">
        <v>579</v>
      </c>
      <c r="E21" s="43" t="s">
        <v>586</v>
      </c>
    </row>
    <row r="22" spans="1:5" ht="14.25" customHeight="1" x14ac:dyDescent="0.3">
      <c r="A22" s="42" t="s">
        <v>587</v>
      </c>
      <c r="B22" s="43" t="str">
        <f>TEXT(SUMMARY!B23,"0.0%")</f>
        <v>4.4%</v>
      </c>
      <c r="C22" s="43" t="s">
        <v>588</v>
      </c>
      <c r="D22" s="43" t="s">
        <v>589</v>
      </c>
      <c r="E22" s="43" t="s">
        <v>590</v>
      </c>
    </row>
    <row r="23" spans="1:5" ht="14.25" customHeight="1" x14ac:dyDescent="0.3">
      <c r="A23" s="34"/>
      <c r="B23" s="34"/>
      <c r="C23" s="34"/>
      <c r="D23" s="34"/>
      <c r="E23" s="34"/>
    </row>
    <row r="24" spans="1:5" ht="14.25" customHeight="1" x14ac:dyDescent="0.3">
      <c r="A24" s="38" t="s">
        <v>591</v>
      </c>
      <c r="B24" s="34"/>
      <c r="C24" s="34"/>
      <c r="D24" s="34"/>
      <c r="E24" s="34"/>
    </row>
    <row r="25" spans="1:5" ht="14.25" customHeight="1" x14ac:dyDescent="0.3">
      <c r="A25" s="39" t="s">
        <v>592</v>
      </c>
      <c r="B25" s="34"/>
      <c r="C25" s="34"/>
      <c r="D25" s="34"/>
      <c r="E25" s="34"/>
    </row>
    <row r="26" spans="1:5" ht="14.25" customHeight="1" x14ac:dyDescent="0.3">
      <c r="A26" s="39" t="s">
        <v>593</v>
      </c>
      <c r="B26" s="34"/>
      <c r="C26" s="34"/>
      <c r="D26" s="34"/>
      <c r="E26" s="34"/>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5"/>
  <sheetViews>
    <sheetView zoomScaleNormal="100" workbookViewId="0">
      <selection sqref="A1:XFD1048576"/>
    </sheetView>
  </sheetViews>
  <sheetFormatPr defaultColWidth="8.6328125" defaultRowHeight="14" x14ac:dyDescent="0.3"/>
  <cols>
    <col min="1" max="1" width="50" style="48" customWidth="1"/>
    <col min="2" max="2" width="16" style="48" customWidth="1"/>
    <col min="3" max="3" width="30" style="48" customWidth="1"/>
    <col min="4" max="4" width="32" style="48" customWidth="1"/>
    <col min="5" max="5" width="26" style="48" customWidth="1"/>
    <col min="6" max="16384" width="8.6328125" style="48"/>
  </cols>
  <sheetData>
    <row r="1" spans="1:5" ht="18" customHeight="1" x14ac:dyDescent="0.4">
      <c r="A1" s="51" t="s">
        <v>52</v>
      </c>
      <c r="B1" s="34"/>
      <c r="C1" s="34"/>
      <c r="D1" s="34"/>
      <c r="E1" s="34"/>
    </row>
    <row r="2" spans="1:5" ht="14.25" customHeight="1" x14ac:dyDescent="0.3">
      <c r="A2" s="39" t="s">
        <v>594</v>
      </c>
      <c r="B2" s="34"/>
      <c r="C2" s="34"/>
      <c r="D2" s="34"/>
      <c r="E2" s="34"/>
    </row>
    <row r="3" spans="1:5" ht="14.25" customHeight="1" x14ac:dyDescent="0.3">
      <c r="A3" s="34"/>
      <c r="B3" s="34"/>
      <c r="C3" s="34"/>
      <c r="D3" s="34"/>
      <c r="E3" s="34"/>
    </row>
    <row r="4" spans="1:5" ht="14.25" customHeight="1" x14ac:dyDescent="0.3">
      <c r="A4" s="37" t="s">
        <v>595</v>
      </c>
      <c r="B4" s="34"/>
      <c r="C4" s="34"/>
      <c r="D4" s="34"/>
      <c r="E4" s="34"/>
    </row>
    <row r="5" spans="1:5" ht="14.25" customHeight="1" x14ac:dyDescent="0.3">
      <c r="A5" s="40" t="s">
        <v>75</v>
      </c>
      <c r="B5" s="41" t="s">
        <v>596</v>
      </c>
      <c r="C5" s="41" t="s">
        <v>597</v>
      </c>
      <c r="D5" s="41" t="s">
        <v>598</v>
      </c>
      <c r="E5" s="41" t="s">
        <v>599</v>
      </c>
    </row>
    <row r="6" spans="1:5" ht="14.25" customHeight="1" x14ac:dyDescent="0.3">
      <c r="A6" s="95" t="s">
        <v>600</v>
      </c>
      <c r="B6" s="95" t="str">
        <f>TEXT(SUMMARY!B16,"0.0%")</f>
        <v>1.8%</v>
      </c>
      <c r="C6" s="95" t="str">
        <f>TEXT(SUMMARY!B15,"0.0%")&amp;" CPI"</f>
        <v>3.4% CPI</v>
      </c>
      <c r="D6" s="95" t="s">
        <v>601</v>
      </c>
      <c r="E6" s="95" t="s">
        <v>115</v>
      </c>
    </row>
    <row r="7" spans="1:5" ht="22.5" customHeight="1" x14ac:dyDescent="0.3">
      <c r="A7" s="43" t="s">
        <v>602</v>
      </c>
      <c r="B7" s="43" t="s">
        <v>567</v>
      </c>
      <c r="C7" s="43" t="s">
        <v>603</v>
      </c>
      <c r="D7" s="43" t="s">
        <v>604</v>
      </c>
      <c r="E7" s="43" t="s">
        <v>91</v>
      </c>
    </row>
    <row r="8" spans="1:5" ht="14.25" customHeight="1" x14ac:dyDescent="0.3">
      <c r="A8" s="43" t="s">
        <v>605</v>
      </c>
      <c r="B8" s="43" t="s">
        <v>567</v>
      </c>
      <c r="C8" s="43" t="s">
        <v>606</v>
      </c>
      <c r="D8" s="43" t="s">
        <v>607</v>
      </c>
      <c r="E8" s="43" t="s">
        <v>565</v>
      </c>
    </row>
    <row r="9" spans="1:5" ht="14.25" customHeight="1" x14ac:dyDescent="0.3">
      <c r="A9" s="43" t="s">
        <v>608</v>
      </c>
      <c r="B9" s="43" t="s">
        <v>609</v>
      </c>
      <c r="C9" s="43" t="s">
        <v>610</v>
      </c>
      <c r="D9" s="43" t="s">
        <v>611</v>
      </c>
      <c r="E9" s="43" t="s">
        <v>115</v>
      </c>
    </row>
    <row r="10" spans="1:5" ht="14.25" customHeight="1" x14ac:dyDescent="0.3">
      <c r="A10" s="43" t="s">
        <v>612</v>
      </c>
      <c r="B10" s="43" t="s">
        <v>613</v>
      </c>
      <c r="C10" s="43" t="s">
        <v>614</v>
      </c>
      <c r="D10" s="43" t="s">
        <v>615</v>
      </c>
      <c r="E10" s="43" t="s">
        <v>616</v>
      </c>
    </row>
    <row r="11" spans="1:5" ht="22.5" customHeight="1" x14ac:dyDescent="0.3">
      <c r="A11" s="43" t="s">
        <v>617</v>
      </c>
      <c r="B11" s="43" t="s">
        <v>618</v>
      </c>
      <c r="C11" s="43" t="s">
        <v>618</v>
      </c>
      <c r="D11" s="43" t="s">
        <v>619</v>
      </c>
      <c r="E11" s="43" t="s">
        <v>87</v>
      </c>
    </row>
    <row r="12" spans="1:5" ht="14.25" customHeight="1" x14ac:dyDescent="0.3">
      <c r="A12" s="34"/>
      <c r="B12" s="34"/>
      <c r="C12" s="34"/>
      <c r="D12" s="34"/>
      <c r="E12" s="34"/>
    </row>
    <row r="13" spans="1:5" ht="14.25" customHeight="1" x14ac:dyDescent="0.3">
      <c r="A13" s="38" t="s">
        <v>620</v>
      </c>
      <c r="B13" s="34"/>
      <c r="C13" s="34"/>
      <c r="D13" s="34"/>
      <c r="E13" s="34"/>
    </row>
    <row r="14" spans="1:5" ht="14.25" customHeight="1" x14ac:dyDescent="0.3">
      <c r="A14" s="39" t="s">
        <v>621</v>
      </c>
      <c r="B14" s="34"/>
      <c r="C14" s="34"/>
      <c r="D14" s="34"/>
      <c r="E14" s="34"/>
    </row>
    <row r="15" spans="1:5" ht="14.25" customHeight="1" x14ac:dyDescent="0.3">
      <c r="A15" s="39" t="s">
        <v>622</v>
      </c>
      <c r="B15" s="34"/>
      <c r="C15" s="34"/>
      <c r="D15" s="34"/>
      <c r="E15" s="34"/>
    </row>
    <row r="16" spans="1:5" ht="14.25" customHeight="1" x14ac:dyDescent="0.3">
      <c r="A16" s="39" t="s">
        <v>623</v>
      </c>
      <c r="B16" s="34"/>
      <c r="C16" s="34"/>
      <c r="D16" s="34"/>
      <c r="E16" s="34"/>
    </row>
    <row r="17" spans="1:5" ht="14.25" customHeight="1" x14ac:dyDescent="0.3">
      <c r="A17" s="39" t="s">
        <v>624</v>
      </c>
      <c r="B17" s="34"/>
      <c r="C17" s="34"/>
      <c r="D17" s="34"/>
      <c r="E17" s="34"/>
    </row>
    <row r="18" spans="1:5" ht="14.25" customHeight="1" x14ac:dyDescent="0.3">
      <c r="A18" s="37" t="s">
        <v>625</v>
      </c>
      <c r="B18" s="34"/>
      <c r="C18" s="34"/>
      <c r="D18" s="34"/>
      <c r="E18" s="34"/>
    </row>
    <row r="19" spans="1:5" ht="14.25" customHeight="1" x14ac:dyDescent="0.3">
      <c r="A19" s="40" t="s">
        <v>75</v>
      </c>
      <c r="B19" s="41" t="s">
        <v>626</v>
      </c>
      <c r="C19" s="41" t="s">
        <v>135</v>
      </c>
      <c r="D19" s="34"/>
      <c r="E19" s="34"/>
    </row>
    <row r="20" spans="1:5" ht="69" customHeight="1" x14ac:dyDescent="0.3">
      <c r="A20" s="95" t="s">
        <v>627</v>
      </c>
      <c r="B20" s="96" t="s">
        <v>628</v>
      </c>
      <c r="C20" s="96" t="s">
        <v>629</v>
      </c>
      <c r="D20" s="34"/>
      <c r="E20" s="34"/>
    </row>
    <row r="21" spans="1:5" ht="45.75" customHeight="1" x14ac:dyDescent="0.3">
      <c r="A21" s="95" t="s">
        <v>630</v>
      </c>
      <c r="B21" s="96" t="s">
        <v>631</v>
      </c>
      <c r="C21" s="96" t="s">
        <v>632</v>
      </c>
      <c r="D21" s="34"/>
      <c r="E21" s="34"/>
    </row>
    <row r="22" spans="1:5" ht="69" customHeight="1" x14ac:dyDescent="0.3">
      <c r="A22" s="42" t="s">
        <v>633</v>
      </c>
      <c r="B22" s="43" t="s">
        <v>634</v>
      </c>
      <c r="C22" s="43" t="s">
        <v>635</v>
      </c>
      <c r="D22" s="34"/>
      <c r="E22" s="34"/>
    </row>
    <row r="23" spans="1:5" ht="57" customHeight="1" x14ac:dyDescent="0.3">
      <c r="A23" s="42" t="s">
        <v>636</v>
      </c>
      <c r="B23" s="43" t="s">
        <v>637</v>
      </c>
      <c r="C23" s="43" t="s">
        <v>638</v>
      </c>
      <c r="D23" s="34"/>
      <c r="E23" s="34"/>
    </row>
    <row r="24" spans="1:5" ht="45.75" customHeight="1" x14ac:dyDescent="0.3">
      <c r="A24" s="42" t="s">
        <v>612</v>
      </c>
      <c r="B24" s="43" t="s">
        <v>639</v>
      </c>
      <c r="C24" s="43" t="s">
        <v>640</v>
      </c>
      <c r="D24" s="34"/>
      <c r="E24" s="34"/>
    </row>
    <row r="25" spans="1:5" ht="34.5" customHeight="1" x14ac:dyDescent="0.3">
      <c r="A25" s="42" t="s">
        <v>641</v>
      </c>
      <c r="B25" s="43" t="s">
        <v>642</v>
      </c>
      <c r="C25" s="43" t="s">
        <v>643</v>
      </c>
      <c r="D25" s="34"/>
      <c r="E25" s="34"/>
    </row>
    <row r="26" spans="1:5" ht="14.25" customHeight="1" x14ac:dyDescent="0.3">
      <c r="A26" s="34"/>
      <c r="B26" s="34"/>
      <c r="C26" s="34"/>
      <c r="D26" s="34"/>
      <c r="E26" s="34"/>
    </row>
    <row r="27" spans="1:5" ht="14.25" customHeight="1" x14ac:dyDescent="0.3">
      <c r="A27" s="38" t="s">
        <v>644</v>
      </c>
      <c r="B27" s="34"/>
      <c r="C27" s="34"/>
      <c r="D27" s="34"/>
      <c r="E27" s="34"/>
    </row>
    <row r="28" spans="1:5" ht="14.25" customHeight="1" x14ac:dyDescent="0.3">
      <c r="A28" s="39" t="s">
        <v>645</v>
      </c>
      <c r="B28" s="34"/>
      <c r="C28" s="34"/>
      <c r="D28" s="34"/>
      <c r="E28" s="34"/>
    </row>
    <row r="29" spans="1:5" ht="14.25" customHeight="1" x14ac:dyDescent="0.3">
      <c r="A29" s="39" t="s">
        <v>646</v>
      </c>
      <c r="B29" s="34"/>
      <c r="C29" s="34"/>
      <c r="D29" s="34"/>
      <c r="E29" s="34"/>
    </row>
    <row r="30" spans="1:5" ht="14.25" customHeight="1" x14ac:dyDescent="0.3">
      <c r="A30" s="34"/>
      <c r="B30" s="34"/>
      <c r="C30" s="34"/>
      <c r="D30" s="34"/>
      <c r="E30" s="34"/>
    </row>
    <row r="31" spans="1:5" ht="14.25" customHeight="1" x14ac:dyDescent="0.3">
      <c r="A31" s="38" t="s">
        <v>647</v>
      </c>
      <c r="B31" s="34"/>
      <c r="C31" s="34"/>
      <c r="D31" s="34"/>
      <c r="E31" s="34"/>
    </row>
    <row r="32" spans="1:5" ht="14.25" customHeight="1" x14ac:dyDescent="0.3">
      <c r="A32" s="39" t="s">
        <v>648</v>
      </c>
      <c r="B32" s="34"/>
      <c r="C32" s="34"/>
      <c r="D32" s="34"/>
      <c r="E32" s="34"/>
    </row>
    <row r="33" spans="1:5" ht="14.25" customHeight="1" x14ac:dyDescent="0.3">
      <c r="A33" s="39" t="s">
        <v>649</v>
      </c>
      <c r="B33" s="34"/>
      <c r="C33" s="34"/>
      <c r="D33" s="34"/>
      <c r="E33" s="34"/>
    </row>
    <row r="34" spans="1:5" ht="14.25" customHeight="1" x14ac:dyDescent="0.3">
      <c r="A34" s="39" t="s">
        <v>650</v>
      </c>
      <c r="B34" s="34"/>
      <c r="C34" s="34"/>
      <c r="D34" s="34"/>
      <c r="E34" s="34"/>
    </row>
    <row r="35" spans="1:5" ht="14.25" customHeight="1" x14ac:dyDescent="0.3">
      <c r="A35" s="34"/>
      <c r="B35" s="34"/>
      <c r="C35" s="34"/>
      <c r="D35" s="34"/>
      <c r="E35" s="34"/>
    </row>
    <row r="36" spans="1:5" ht="14.25" customHeight="1" x14ac:dyDescent="0.3">
      <c r="A36" s="37" t="s">
        <v>651</v>
      </c>
      <c r="B36" s="34"/>
      <c r="C36" s="34"/>
      <c r="D36" s="34"/>
      <c r="E36" s="34"/>
    </row>
    <row r="37" spans="1:5" ht="26.25" customHeight="1" x14ac:dyDescent="0.3">
      <c r="A37" s="40" t="s">
        <v>652</v>
      </c>
      <c r="B37" s="41" t="s">
        <v>653</v>
      </c>
      <c r="C37" s="34"/>
      <c r="D37" s="34"/>
      <c r="E37" s="34"/>
    </row>
    <row r="38" spans="1:5" ht="14.25" customHeight="1" x14ac:dyDescent="0.3">
      <c r="A38" s="97" t="s">
        <v>654</v>
      </c>
      <c r="B38" s="92" t="s">
        <v>655</v>
      </c>
      <c r="C38" s="34"/>
      <c r="D38" s="34"/>
      <c r="E38" s="34"/>
    </row>
    <row r="39" spans="1:5" ht="14.25" customHeight="1" x14ac:dyDescent="0.3">
      <c r="A39" s="97" t="s">
        <v>656</v>
      </c>
      <c r="B39" s="92" t="s">
        <v>657</v>
      </c>
      <c r="C39" s="34"/>
      <c r="D39" s="34"/>
      <c r="E39" s="34"/>
    </row>
    <row r="40" spans="1:5" ht="14.25" customHeight="1" x14ac:dyDescent="0.3">
      <c r="A40" s="97" t="s">
        <v>658</v>
      </c>
      <c r="B40" s="92" t="s">
        <v>659</v>
      </c>
      <c r="C40" s="34"/>
      <c r="D40" s="34"/>
      <c r="E40" s="34"/>
    </row>
    <row r="41" spans="1:5" ht="14.25" customHeight="1" x14ac:dyDescent="0.3">
      <c r="A41" s="97" t="s">
        <v>660</v>
      </c>
      <c r="B41" s="92" t="s">
        <v>661</v>
      </c>
      <c r="C41" s="34"/>
      <c r="D41" s="34"/>
      <c r="E41" s="34"/>
    </row>
    <row r="42" spans="1:5" ht="14.25" customHeight="1" x14ac:dyDescent="0.3">
      <c r="A42" s="97" t="s">
        <v>662</v>
      </c>
      <c r="B42" s="92" t="s">
        <v>663</v>
      </c>
      <c r="C42" s="34"/>
      <c r="D42" s="34"/>
      <c r="E42" s="34"/>
    </row>
    <row r="43" spans="1:5" ht="14.25" customHeight="1" x14ac:dyDescent="0.3">
      <c r="A43" s="97" t="s">
        <v>664</v>
      </c>
      <c r="B43" s="92" t="s">
        <v>665</v>
      </c>
      <c r="C43" s="34"/>
      <c r="D43" s="34"/>
      <c r="E43" s="34"/>
    </row>
    <row r="44" spans="1:5" ht="14.25" customHeight="1" x14ac:dyDescent="0.3">
      <c r="A44" s="97" t="s">
        <v>666</v>
      </c>
      <c r="B44" s="92" t="s">
        <v>667</v>
      </c>
      <c r="C44" s="34"/>
      <c r="D44" s="34"/>
      <c r="E44" s="34"/>
    </row>
    <row r="45" spans="1:5" ht="14.25" customHeight="1" x14ac:dyDescent="0.3">
      <c r="A45" s="97" t="s">
        <v>668</v>
      </c>
      <c r="B45" s="92" t="s">
        <v>669</v>
      </c>
      <c r="C45" s="34"/>
      <c r="D45" s="34"/>
      <c r="E45" s="34"/>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7"/>
  <sheetViews>
    <sheetView zoomScaleNormal="100" workbookViewId="0">
      <selection sqref="A1:XFD1048576"/>
    </sheetView>
  </sheetViews>
  <sheetFormatPr defaultColWidth="8.6328125" defaultRowHeight="14" x14ac:dyDescent="0.3"/>
  <cols>
    <col min="1" max="1" width="30" style="48" customWidth="1"/>
    <col min="2" max="2" width="52" style="48" customWidth="1"/>
    <col min="3" max="8" width="16" style="48" customWidth="1"/>
    <col min="9" max="16384" width="8.6328125" style="48"/>
  </cols>
  <sheetData>
    <row r="1" spans="1:8" ht="18" customHeight="1" x14ac:dyDescent="0.4">
      <c r="A1" s="51" t="s">
        <v>670</v>
      </c>
      <c r="B1" s="34"/>
      <c r="C1" s="34"/>
      <c r="D1" s="34"/>
      <c r="E1" s="34"/>
      <c r="F1" s="34"/>
      <c r="G1" s="34"/>
      <c r="H1" s="34"/>
    </row>
    <row r="2" spans="1:8" ht="14.25" customHeight="1" x14ac:dyDescent="0.3">
      <c r="A2" s="39" t="s">
        <v>671</v>
      </c>
      <c r="B2" s="34"/>
      <c r="C2" s="34"/>
      <c r="D2" s="34"/>
      <c r="E2" s="34"/>
      <c r="F2" s="34"/>
      <c r="G2" s="34"/>
      <c r="H2" s="34"/>
    </row>
    <row r="3" spans="1:8" ht="14.25" customHeight="1" x14ac:dyDescent="0.3">
      <c r="A3" s="34"/>
      <c r="B3" s="34"/>
      <c r="C3" s="34"/>
      <c r="D3" s="34"/>
      <c r="E3" s="34"/>
      <c r="F3" s="34"/>
      <c r="G3" s="34"/>
      <c r="H3" s="34"/>
    </row>
    <row r="4" spans="1:8" ht="14.25" customHeight="1" x14ac:dyDescent="0.3">
      <c r="A4" s="37" t="s">
        <v>672</v>
      </c>
      <c r="B4" s="34"/>
      <c r="C4" s="34"/>
      <c r="D4" s="34"/>
      <c r="E4" s="34"/>
      <c r="F4" s="34"/>
      <c r="G4" s="34"/>
      <c r="H4" s="34"/>
    </row>
    <row r="5" spans="1:8" ht="14.25" customHeight="1" x14ac:dyDescent="0.3">
      <c r="A5" s="40" t="s">
        <v>216</v>
      </c>
      <c r="B5" s="41" t="s">
        <v>132</v>
      </c>
      <c r="C5" s="41" t="s">
        <v>673</v>
      </c>
      <c r="D5" s="41" t="s">
        <v>674</v>
      </c>
      <c r="E5" s="41" t="s">
        <v>675</v>
      </c>
      <c r="F5" s="41" t="s">
        <v>676</v>
      </c>
      <c r="G5" s="41" t="s">
        <v>677</v>
      </c>
      <c r="H5" s="41" t="s">
        <v>678</v>
      </c>
    </row>
    <row r="6" spans="1:8" ht="14.25" customHeight="1" x14ac:dyDescent="0.3">
      <c r="A6" s="68" t="s">
        <v>679</v>
      </c>
      <c r="B6" s="69">
        <v>0.3</v>
      </c>
      <c r="C6" s="70">
        <v>68.78</v>
      </c>
      <c r="D6" s="70">
        <v>67.92</v>
      </c>
      <c r="E6" s="77">
        <v>-6.3E-3</v>
      </c>
      <c r="F6" s="70">
        <v>83.96</v>
      </c>
      <c r="G6" s="70">
        <v>70.81</v>
      </c>
      <c r="H6" s="77">
        <v>-8.1600000000000006E-2</v>
      </c>
    </row>
    <row r="7" spans="1:8" ht="14.25" customHeight="1" x14ac:dyDescent="0.3">
      <c r="A7" s="68" t="s">
        <v>222</v>
      </c>
      <c r="B7" s="69">
        <v>0.1</v>
      </c>
      <c r="C7" s="70">
        <v>1122.75</v>
      </c>
      <c r="D7" s="70">
        <v>1175.75</v>
      </c>
      <c r="E7" s="77">
        <v>4.7199999999999999E-2</v>
      </c>
      <c r="F7" s="70">
        <v>1188.5</v>
      </c>
      <c r="G7" s="70">
        <v>1218.75</v>
      </c>
      <c r="H7" s="77">
        <v>2.5499999999999998E-2</v>
      </c>
    </row>
    <row r="8" spans="1:8" ht="14.25" customHeight="1" x14ac:dyDescent="0.3">
      <c r="A8" s="68" t="s">
        <v>223</v>
      </c>
      <c r="B8" s="69">
        <v>0.1</v>
      </c>
      <c r="C8" s="70">
        <v>417.5</v>
      </c>
      <c r="D8" s="70">
        <v>494.25</v>
      </c>
      <c r="E8" s="77">
        <v>0.18379999999999999</v>
      </c>
      <c r="F8" s="70">
        <v>468.5</v>
      </c>
      <c r="G8" s="70">
        <v>497.75</v>
      </c>
      <c r="H8" s="77">
        <v>6.2399999999999997E-2</v>
      </c>
    </row>
    <row r="9" spans="1:8" ht="14.25" customHeight="1" x14ac:dyDescent="0.3">
      <c r="A9" s="68" t="s">
        <v>224</v>
      </c>
      <c r="B9" s="69">
        <v>0.15</v>
      </c>
      <c r="C9" s="70">
        <v>6.2275</v>
      </c>
      <c r="D9" s="70">
        <v>6.4664999999999999</v>
      </c>
      <c r="E9" s="77">
        <v>3.8399999999999997E-2</v>
      </c>
      <c r="F9" s="70">
        <v>6.5</v>
      </c>
      <c r="G9" s="70">
        <v>6.62</v>
      </c>
      <c r="H9" s="77">
        <v>1.8499999999999999E-2</v>
      </c>
    </row>
    <row r="10" spans="1:8" ht="14.25" customHeight="1" x14ac:dyDescent="0.3">
      <c r="A10" s="68" t="s">
        <v>225</v>
      </c>
      <c r="B10" s="69">
        <v>0.2</v>
      </c>
      <c r="C10" s="70">
        <v>4110.2</v>
      </c>
      <c r="D10" s="70">
        <v>4265</v>
      </c>
      <c r="E10" s="77">
        <v>3.7699999999999997E-2</v>
      </c>
      <c r="F10" s="70">
        <v>4162.8</v>
      </c>
      <c r="G10" s="70">
        <v>4283.3999999999996</v>
      </c>
      <c r="H10" s="77">
        <v>2.9000000000000001E-2</v>
      </c>
    </row>
    <row r="11" spans="1:8" ht="14.25" customHeight="1" x14ac:dyDescent="0.3">
      <c r="A11" s="68" t="s">
        <v>226</v>
      </c>
      <c r="B11" s="69">
        <v>0.05</v>
      </c>
      <c r="C11" s="70">
        <v>13.92</v>
      </c>
      <c r="D11" s="70">
        <v>15.07</v>
      </c>
      <c r="E11" s="77">
        <v>8.2600000000000007E-2</v>
      </c>
      <c r="F11" s="70">
        <v>14.44</v>
      </c>
      <c r="G11" s="70">
        <v>15.17</v>
      </c>
      <c r="H11" s="77">
        <v>5.0599999999999999E-2</v>
      </c>
    </row>
    <row r="12" spans="1:8" ht="14.25" customHeight="1" x14ac:dyDescent="0.3">
      <c r="A12" s="68" t="s">
        <v>227</v>
      </c>
      <c r="B12" s="69">
        <v>0.05</v>
      </c>
      <c r="C12" s="70">
        <v>2.484</v>
      </c>
      <c r="D12" s="70">
        <v>2.3544999999999998</v>
      </c>
      <c r="E12" s="77">
        <v>-5.21E-2</v>
      </c>
      <c r="F12" s="70">
        <v>324.5</v>
      </c>
      <c r="G12" s="70">
        <v>297.75</v>
      </c>
      <c r="H12" s="77">
        <v>-8.2400000000000001E-2</v>
      </c>
    </row>
    <row r="13" spans="1:8" ht="14.25" customHeight="1" x14ac:dyDescent="0.3">
      <c r="A13" s="68" t="s">
        <v>680</v>
      </c>
      <c r="B13" s="69">
        <v>0.05</v>
      </c>
      <c r="C13" s="70">
        <v>241.77500000000001</v>
      </c>
      <c r="D13" s="70">
        <v>225.97499999999999</v>
      </c>
      <c r="E13" s="77">
        <v>-6.54E-2</v>
      </c>
      <c r="F13" s="70">
        <v>227.45</v>
      </c>
      <c r="G13" s="70">
        <v>213.9</v>
      </c>
      <c r="H13" s="77">
        <v>-5.96E-2</v>
      </c>
    </row>
    <row r="14" spans="1:8" ht="14.25" customHeight="1" x14ac:dyDescent="0.3">
      <c r="A14" s="58" t="s">
        <v>681</v>
      </c>
      <c r="B14" s="34"/>
      <c r="C14" s="34"/>
      <c r="D14" s="34"/>
      <c r="E14" s="86">
        <f>SUMPRODUCT(B6:B13,E6:E13)</f>
        <v>3.2764999999999996E-2</v>
      </c>
      <c r="F14" s="34"/>
      <c r="G14" s="34"/>
      <c r="H14" s="86">
        <f>SUMPRODUCT(B6:B13,H6:H13)</f>
        <v>-1.1685000000000003E-2</v>
      </c>
    </row>
    <row r="15" spans="1:8" ht="14.25" customHeight="1" x14ac:dyDescent="0.3">
      <c r="A15" s="38" t="s">
        <v>682</v>
      </c>
      <c r="B15" s="34"/>
      <c r="C15" s="34"/>
      <c r="D15" s="34"/>
      <c r="E15" s="34"/>
      <c r="F15" s="34"/>
      <c r="G15" s="34"/>
      <c r="H15" s="34"/>
    </row>
    <row r="16" spans="1:8" ht="14.25" customHeight="1" x14ac:dyDescent="0.3">
      <c r="A16" s="39" t="s">
        <v>683</v>
      </c>
      <c r="B16" s="34"/>
      <c r="C16" s="34"/>
      <c r="D16" s="34"/>
      <c r="E16" s="34"/>
      <c r="F16" s="34"/>
      <c r="G16" s="34"/>
      <c r="H16" s="34"/>
    </row>
    <row r="17" spans="1:8" ht="14.25" customHeight="1" x14ac:dyDescent="0.3">
      <c r="A17" s="39" t="s">
        <v>684</v>
      </c>
      <c r="B17" s="34"/>
      <c r="C17" s="34"/>
      <c r="D17" s="34"/>
      <c r="E17" s="34"/>
      <c r="F17" s="34"/>
      <c r="G17" s="34"/>
      <c r="H17" s="34"/>
    </row>
    <row r="18" spans="1:8" ht="14.25" customHeight="1" x14ac:dyDescent="0.3">
      <c r="A18" s="34"/>
      <c r="B18" s="34"/>
      <c r="C18" s="34"/>
      <c r="D18" s="34"/>
      <c r="E18" s="34"/>
      <c r="F18" s="34"/>
      <c r="G18" s="34"/>
      <c r="H18" s="34"/>
    </row>
    <row r="19" spans="1:8" ht="14.25" customHeight="1" x14ac:dyDescent="0.3">
      <c r="A19" s="37" t="s">
        <v>685</v>
      </c>
      <c r="B19" s="34"/>
      <c r="C19" s="34"/>
      <c r="D19" s="34"/>
      <c r="E19" s="34"/>
      <c r="F19" s="34"/>
      <c r="G19" s="34"/>
      <c r="H19" s="34"/>
    </row>
    <row r="20" spans="1:8" ht="14.25" customHeight="1" x14ac:dyDescent="0.3">
      <c r="A20" s="40" t="s">
        <v>686</v>
      </c>
      <c r="B20" s="41" t="s">
        <v>687</v>
      </c>
      <c r="C20" s="41" t="s">
        <v>688</v>
      </c>
      <c r="D20" s="41" t="s">
        <v>689</v>
      </c>
      <c r="E20" s="34"/>
      <c r="F20" s="34"/>
      <c r="G20" s="34"/>
      <c r="H20" s="34"/>
    </row>
    <row r="21" spans="1:8" ht="14.25" customHeight="1" x14ac:dyDescent="0.3">
      <c r="A21" s="68" t="s">
        <v>690</v>
      </c>
      <c r="B21" s="93">
        <v>3.5000000000000003E-2</v>
      </c>
      <c r="C21" s="98">
        <f>E14</f>
        <v>3.2764999999999996E-2</v>
      </c>
      <c r="D21" s="99">
        <f>0.68*B21+0.32*C21</f>
        <v>3.4284800000000004E-2</v>
      </c>
      <c r="E21" s="34"/>
      <c r="F21" s="34"/>
      <c r="G21" s="34"/>
      <c r="H21" s="34"/>
    </row>
    <row r="22" spans="1:8" ht="14.25" customHeight="1" x14ac:dyDescent="0.3">
      <c r="A22" s="68" t="s">
        <v>691</v>
      </c>
      <c r="B22" s="93">
        <v>3.5000000000000003E-2</v>
      </c>
      <c r="C22" s="98">
        <f>H14</f>
        <v>-1.1685000000000003E-2</v>
      </c>
      <c r="D22" s="99">
        <f>0.68*B22+0.32*C22</f>
        <v>2.0060800000000004E-2</v>
      </c>
      <c r="E22" s="34"/>
      <c r="F22" s="34"/>
      <c r="G22" s="34"/>
      <c r="H22" s="34"/>
    </row>
    <row r="23" spans="1:8" ht="14.25" customHeight="1" x14ac:dyDescent="0.3">
      <c r="A23" s="34"/>
      <c r="B23" s="34"/>
      <c r="C23" s="34"/>
      <c r="D23" s="34"/>
      <c r="E23" s="34"/>
      <c r="F23" s="34"/>
      <c r="G23" s="34"/>
      <c r="H23" s="34"/>
    </row>
    <row r="24" spans="1:8" ht="14.25" customHeight="1" x14ac:dyDescent="0.3">
      <c r="A24" s="37" t="s">
        <v>692</v>
      </c>
      <c r="B24" s="34"/>
      <c r="C24" s="34"/>
      <c r="D24" s="34"/>
      <c r="E24" s="34"/>
      <c r="F24" s="34"/>
      <c r="G24" s="34"/>
      <c r="H24" s="34"/>
    </row>
    <row r="25" spans="1:8" ht="14.25" customHeight="1" x14ac:dyDescent="0.3">
      <c r="A25" s="40" t="s">
        <v>693</v>
      </c>
      <c r="B25" s="41" t="s">
        <v>694</v>
      </c>
      <c r="C25" s="34"/>
      <c r="D25" s="34"/>
      <c r="E25" s="34"/>
      <c r="F25" s="34"/>
      <c r="G25" s="34"/>
      <c r="H25" s="34"/>
    </row>
    <row r="26" spans="1:8" ht="66" customHeight="1" x14ac:dyDescent="0.3">
      <c r="A26" s="42" t="s">
        <v>695</v>
      </c>
      <c r="B26" s="100" t="s">
        <v>696</v>
      </c>
      <c r="C26" s="34"/>
      <c r="D26" s="34"/>
      <c r="E26" s="34"/>
      <c r="F26" s="34"/>
      <c r="G26" s="34"/>
      <c r="H26" s="34"/>
    </row>
    <row r="27" spans="1:8" ht="43.5" customHeight="1" x14ac:dyDescent="0.3">
      <c r="A27" s="42" t="s">
        <v>697</v>
      </c>
      <c r="B27" s="100" t="s">
        <v>698</v>
      </c>
      <c r="C27" s="34"/>
      <c r="D27" s="34"/>
      <c r="E27" s="34"/>
      <c r="F27" s="34"/>
      <c r="G27" s="34"/>
      <c r="H27" s="34"/>
    </row>
    <row r="28" spans="1:8" ht="33" customHeight="1" x14ac:dyDescent="0.3">
      <c r="A28" s="42" t="s">
        <v>699</v>
      </c>
      <c r="B28" s="100" t="s">
        <v>700</v>
      </c>
      <c r="C28" s="34"/>
      <c r="D28" s="34"/>
      <c r="E28" s="34"/>
      <c r="F28" s="34"/>
      <c r="G28" s="34"/>
      <c r="H28" s="34"/>
    </row>
    <row r="29" spans="1:8" ht="43.5" customHeight="1" x14ac:dyDescent="0.3">
      <c r="A29" s="42" t="s">
        <v>701</v>
      </c>
      <c r="B29" s="100" t="s">
        <v>702</v>
      </c>
      <c r="C29" s="34"/>
      <c r="D29" s="34"/>
      <c r="E29" s="34"/>
      <c r="F29" s="34"/>
      <c r="G29" s="34"/>
      <c r="H29" s="34"/>
    </row>
    <row r="30" spans="1:8" ht="43.5" customHeight="1" x14ac:dyDescent="0.3">
      <c r="A30" s="42" t="s">
        <v>703</v>
      </c>
      <c r="B30" s="100" t="s">
        <v>704</v>
      </c>
      <c r="C30" s="34"/>
      <c r="D30" s="34"/>
      <c r="E30" s="34"/>
      <c r="F30" s="34"/>
      <c r="G30" s="34"/>
      <c r="H30" s="34"/>
    </row>
    <row r="31" spans="1:8" ht="14.25" customHeight="1" x14ac:dyDescent="0.3">
      <c r="A31" s="34"/>
      <c r="B31" s="34"/>
      <c r="C31" s="34"/>
      <c r="D31" s="34"/>
      <c r="E31" s="34"/>
      <c r="F31" s="34"/>
      <c r="G31" s="34"/>
      <c r="H31" s="34"/>
    </row>
    <row r="32" spans="1:8" ht="14.25" customHeight="1" x14ac:dyDescent="0.3">
      <c r="A32" s="37" t="s">
        <v>705</v>
      </c>
      <c r="B32" s="34"/>
      <c r="C32" s="34"/>
      <c r="D32" s="34"/>
      <c r="E32" s="34"/>
      <c r="F32" s="34"/>
      <c r="G32" s="34"/>
      <c r="H32" s="34"/>
    </row>
    <row r="33" spans="1:8" ht="14.25" customHeight="1" x14ac:dyDescent="0.3">
      <c r="A33" s="38" t="s">
        <v>706</v>
      </c>
      <c r="B33" s="34"/>
      <c r="C33" s="34"/>
      <c r="D33" s="34"/>
      <c r="E33" s="34"/>
      <c r="F33" s="34"/>
      <c r="G33" s="34"/>
      <c r="H33" s="34"/>
    </row>
    <row r="34" spans="1:8" ht="14.25" customHeight="1" x14ac:dyDescent="0.3">
      <c r="A34" s="39" t="s">
        <v>707</v>
      </c>
      <c r="B34" s="34"/>
      <c r="C34" s="34"/>
      <c r="D34" s="34"/>
      <c r="E34" s="34"/>
      <c r="F34" s="34"/>
      <c r="G34" s="34"/>
      <c r="H34" s="34"/>
    </row>
    <row r="35" spans="1:8" ht="14.25" customHeight="1" x14ac:dyDescent="0.3">
      <c r="A35" s="39" t="s">
        <v>708</v>
      </c>
      <c r="B35" s="34"/>
      <c r="C35" s="34"/>
      <c r="D35" s="34"/>
      <c r="E35" s="34"/>
      <c r="F35" s="34"/>
      <c r="G35" s="34"/>
      <c r="H35" s="34"/>
    </row>
    <row r="36" spans="1:8" ht="14.25" customHeight="1" x14ac:dyDescent="0.3">
      <c r="A36" s="39" t="s">
        <v>709</v>
      </c>
      <c r="B36" s="34"/>
      <c r="C36" s="34"/>
      <c r="D36" s="34"/>
      <c r="E36" s="34"/>
      <c r="F36" s="34"/>
      <c r="G36" s="34"/>
      <c r="H36" s="34"/>
    </row>
    <row r="37" spans="1:8" ht="14.25" customHeight="1" x14ac:dyDescent="0.3">
      <c r="A37" s="39" t="s">
        <v>710</v>
      </c>
      <c r="B37" s="34"/>
      <c r="C37" s="34"/>
      <c r="D37" s="34"/>
      <c r="E37" s="34"/>
      <c r="F37" s="34"/>
      <c r="G37" s="34"/>
      <c r="H37" s="34"/>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3"/>
  <sheetViews>
    <sheetView zoomScaleNormal="100" workbookViewId="0">
      <selection activeCell="B26" sqref="B26"/>
    </sheetView>
  </sheetViews>
  <sheetFormatPr defaultColWidth="8.6328125" defaultRowHeight="14" x14ac:dyDescent="0.3"/>
  <cols>
    <col min="1" max="1" width="40" style="48" customWidth="1"/>
    <col min="2" max="3" width="62" style="48" customWidth="1"/>
    <col min="4" max="4" width="20" style="48" customWidth="1"/>
    <col min="5" max="16384" width="8.6328125" style="48"/>
  </cols>
  <sheetData>
    <row r="1" spans="1:4" ht="18" customHeight="1" x14ac:dyDescent="0.4">
      <c r="A1" s="51" t="s">
        <v>711</v>
      </c>
      <c r="B1" s="34"/>
      <c r="C1" s="34"/>
      <c r="D1" s="34"/>
    </row>
    <row r="2" spans="1:4" ht="14.25" customHeight="1" x14ac:dyDescent="0.3">
      <c r="A2" s="39" t="s">
        <v>712</v>
      </c>
      <c r="B2" s="34"/>
      <c r="C2" s="34"/>
      <c r="D2" s="34"/>
    </row>
    <row r="3" spans="1:4" ht="14.25" customHeight="1" x14ac:dyDescent="0.3">
      <c r="A3" s="34"/>
      <c r="B3" s="34"/>
      <c r="C3" s="34"/>
      <c r="D3" s="34"/>
    </row>
    <row r="4" spans="1:4" ht="14.25" customHeight="1" x14ac:dyDescent="0.3">
      <c r="A4" s="38" t="s">
        <v>713</v>
      </c>
      <c r="B4" s="34"/>
      <c r="C4" s="34"/>
      <c r="D4" s="34"/>
    </row>
    <row r="5" spans="1:4" ht="14.25" customHeight="1" x14ac:dyDescent="0.3">
      <c r="A5" s="39" t="s">
        <v>714</v>
      </c>
      <c r="B5" s="34"/>
      <c r="C5" s="34"/>
      <c r="D5" s="34"/>
    </row>
    <row r="6" spans="1:4" ht="14.25" customHeight="1" x14ac:dyDescent="0.3">
      <c r="A6" s="39" t="s">
        <v>715</v>
      </c>
      <c r="B6" s="34"/>
      <c r="C6" s="34"/>
      <c r="D6" s="34"/>
    </row>
    <row r="7" spans="1:4" ht="14.25" customHeight="1" x14ac:dyDescent="0.3">
      <c r="A7" s="34"/>
      <c r="B7" s="34"/>
      <c r="C7" s="34"/>
      <c r="D7" s="34"/>
    </row>
    <row r="8" spans="1:4" ht="14.25" customHeight="1" x14ac:dyDescent="0.3">
      <c r="A8" s="37" t="s">
        <v>716</v>
      </c>
      <c r="B8" s="34"/>
      <c r="C8" s="34"/>
      <c r="D8" s="34"/>
    </row>
    <row r="9" spans="1:4" ht="14.25" customHeight="1" x14ac:dyDescent="0.3">
      <c r="A9" s="40" t="s">
        <v>717</v>
      </c>
      <c r="B9" s="41" t="s">
        <v>718</v>
      </c>
      <c r="C9" s="41" t="s">
        <v>719</v>
      </c>
      <c r="D9" s="34"/>
    </row>
    <row r="10" spans="1:4" ht="43.5" customHeight="1" x14ac:dyDescent="0.3">
      <c r="A10" s="101" t="s">
        <v>720</v>
      </c>
      <c r="B10" s="100" t="s">
        <v>721</v>
      </c>
      <c r="C10" s="100" t="s">
        <v>722</v>
      </c>
      <c r="D10" s="34"/>
    </row>
    <row r="11" spans="1:4" ht="21.75" customHeight="1" x14ac:dyDescent="0.3">
      <c r="A11" s="101" t="s">
        <v>723</v>
      </c>
      <c r="B11" s="100" t="s">
        <v>724</v>
      </c>
      <c r="C11" s="100" t="s">
        <v>725</v>
      </c>
      <c r="D11" s="34"/>
    </row>
    <row r="12" spans="1:4" ht="33" customHeight="1" x14ac:dyDescent="0.3">
      <c r="A12" s="101" t="s">
        <v>726</v>
      </c>
      <c r="B12" s="100" t="s">
        <v>727</v>
      </c>
      <c r="C12" s="100" t="s">
        <v>728</v>
      </c>
      <c r="D12" s="34"/>
    </row>
    <row r="13" spans="1:4" ht="43.5" customHeight="1" x14ac:dyDescent="0.3">
      <c r="A13" s="101" t="s">
        <v>729</v>
      </c>
      <c r="B13" s="100" t="s">
        <v>730</v>
      </c>
      <c r="C13" s="100" t="s">
        <v>731</v>
      </c>
      <c r="D13" s="34"/>
    </row>
    <row r="14" spans="1:4" ht="14.25" customHeight="1" x14ac:dyDescent="0.3">
      <c r="A14" s="34"/>
      <c r="B14" s="34"/>
      <c r="C14" s="34"/>
      <c r="D14" s="34"/>
    </row>
    <row r="15" spans="1:4" ht="14.25" customHeight="1" x14ac:dyDescent="0.3">
      <c r="A15" s="37" t="s">
        <v>732</v>
      </c>
      <c r="B15" s="34"/>
      <c r="C15" s="34"/>
      <c r="D15" s="34"/>
    </row>
    <row r="16" spans="1:4" ht="14.25" customHeight="1" x14ac:dyDescent="0.3">
      <c r="A16" s="40" t="s">
        <v>733</v>
      </c>
      <c r="B16" s="41" t="s">
        <v>146</v>
      </c>
      <c r="C16" s="41" t="s">
        <v>734</v>
      </c>
      <c r="D16" s="34"/>
    </row>
    <row r="17" spans="1:4" ht="54.75" customHeight="1" x14ac:dyDescent="0.3">
      <c r="A17" s="101" t="s">
        <v>735</v>
      </c>
      <c r="B17" s="106" t="s">
        <v>736</v>
      </c>
      <c r="C17" s="100" t="s">
        <v>737</v>
      </c>
      <c r="D17" s="34"/>
    </row>
    <row r="18" spans="1:4" ht="21.75" customHeight="1" x14ac:dyDescent="0.3">
      <c r="A18" s="101" t="s">
        <v>413</v>
      </c>
      <c r="B18" s="106" t="s">
        <v>738</v>
      </c>
      <c r="C18" s="100" t="s">
        <v>739</v>
      </c>
      <c r="D18" s="34"/>
    </row>
    <row r="19" spans="1:4" ht="33" customHeight="1" x14ac:dyDescent="0.3">
      <c r="A19" s="101" t="s">
        <v>740</v>
      </c>
      <c r="B19" s="106" t="s">
        <v>741</v>
      </c>
      <c r="C19" s="100" t="s">
        <v>742</v>
      </c>
      <c r="D19" s="34"/>
    </row>
    <row r="20" spans="1:4" ht="33" customHeight="1" x14ac:dyDescent="0.3">
      <c r="A20" s="101" t="s">
        <v>743</v>
      </c>
      <c r="B20" s="106" t="s">
        <v>744</v>
      </c>
      <c r="C20" s="100" t="s">
        <v>745</v>
      </c>
      <c r="D20" s="34"/>
    </row>
    <row r="21" spans="1:4" ht="21.75" customHeight="1" x14ac:dyDescent="0.3">
      <c r="A21" s="101" t="s">
        <v>503</v>
      </c>
      <c r="B21" s="106" t="s">
        <v>746</v>
      </c>
      <c r="C21" s="100" t="s">
        <v>747</v>
      </c>
      <c r="D21" s="34"/>
    </row>
    <row r="22" spans="1:4" ht="14.25" customHeight="1" x14ac:dyDescent="0.3">
      <c r="A22" s="101" t="s">
        <v>748</v>
      </c>
      <c r="B22" s="106" t="s">
        <v>749</v>
      </c>
      <c r="C22" s="100" t="s">
        <v>750</v>
      </c>
      <c r="D22" s="34"/>
    </row>
    <row r="23" spans="1:4" ht="14.25" customHeight="1" x14ac:dyDescent="0.3">
      <c r="A23" s="34"/>
      <c r="B23" s="34"/>
      <c r="C23" s="34"/>
      <c r="D23" s="34"/>
    </row>
    <row r="24" spans="1:4" ht="14.25" customHeight="1" x14ac:dyDescent="0.3">
      <c r="A24" s="37"/>
      <c r="B24" s="34"/>
      <c r="C24" s="34"/>
      <c r="D24" s="34"/>
    </row>
    <row r="25" spans="1:4" ht="14.25" customHeight="1" x14ac:dyDescent="0.3">
      <c r="A25" s="102"/>
      <c r="B25" s="103"/>
      <c r="C25" s="103"/>
      <c r="D25" s="34"/>
    </row>
    <row r="26" spans="1:4" ht="21.75" customHeight="1" x14ac:dyDescent="0.3">
      <c r="A26" s="104"/>
      <c r="B26" s="105"/>
      <c r="C26" s="105"/>
      <c r="D26" s="34"/>
    </row>
    <row r="27" spans="1:4" ht="21.75" customHeight="1" x14ac:dyDescent="0.3">
      <c r="A27" s="104"/>
      <c r="B27" s="105"/>
      <c r="C27" s="105"/>
      <c r="D27" s="34"/>
    </row>
    <row r="28" spans="1:4" ht="14.25" customHeight="1" x14ac:dyDescent="0.3">
      <c r="A28" s="104"/>
      <c r="B28" s="105"/>
      <c r="C28" s="105"/>
      <c r="D28" s="34"/>
    </row>
    <row r="29" spans="1:4" ht="14.25" customHeight="1" x14ac:dyDescent="0.3">
      <c r="A29" s="34"/>
      <c r="B29" s="34"/>
      <c r="C29" s="34"/>
      <c r="D29" s="34"/>
    </row>
    <row r="30" spans="1:4" ht="14.25" customHeight="1" x14ac:dyDescent="0.3">
      <c r="A30" s="34"/>
      <c r="B30" s="34"/>
      <c r="C30" s="34"/>
      <c r="D30" s="34"/>
    </row>
    <row r="31" spans="1:4" ht="14.25" customHeight="1" x14ac:dyDescent="0.3">
      <c r="A31" s="37" t="s">
        <v>751</v>
      </c>
      <c r="B31" s="34"/>
      <c r="C31" s="34"/>
      <c r="D31" s="34"/>
    </row>
    <row r="32" spans="1:4" ht="14.25" customHeight="1" x14ac:dyDescent="0.3">
      <c r="A32" s="38" t="s">
        <v>752</v>
      </c>
      <c r="B32" s="34"/>
      <c r="C32" s="34"/>
      <c r="D32" s="34"/>
    </row>
    <row r="33" spans="1:4" ht="14.25" customHeight="1" x14ac:dyDescent="0.3">
      <c r="A33" s="39" t="s">
        <v>753</v>
      </c>
      <c r="B33" s="34"/>
      <c r="C33" s="34"/>
      <c r="D33" s="34"/>
    </row>
    <row r="34" spans="1:4" ht="14.25" customHeight="1" x14ac:dyDescent="0.3">
      <c r="A34" s="39" t="s">
        <v>754</v>
      </c>
      <c r="B34" s="34"/>
      <c r="C34" s="34"/>
      <c r="D34" s="34"/>
    </row>
    <row r="35" spans="1:4" ht="14.25" customHeight="1" x14ac:dyDescent="0.3">
      <c r="A35" s="39" t="s">
        <v>755</v>
      </c>
      <c r="B35" s="34"/>
      <c r="C35" s="34"/>
      <c r="D35" s="34"/>
    </row>
    <row r="36" spans="1:4" ht="14.25" customHeight="1" x14ac:dyDescent="0.3">
      <c r="A36" s="34"/>
      <c r="B36" s="34"/>
      <c r="C36" s="34"/>
      <c r="D36" s="34"/>
    </row>
    <row r="37" spans="1:4" ht="14.25" customHeight="1" x14ac:dyDescent="0.3">
      <c r="A37" s="34"/>
      <c r="B37" s="34"/>
      <c r="C37" s="34"/>
      <c r="D37" s="34"/>
    </row>
    <row r="38" spans="1:4" ht="14.25" customHeight="1" x14ac:dyDescent="0.3">
      <c r="A38" s="37" t="s">
        <v>756</v>
      </c>
      <c r="B38" s="34"/>
      <c r="C38" s="34"/>
      <c r="D38" s="34"/>
    </row>
    <row r="39" spans="1:4" ht="14.25" customHeight="1" x14ac:dyDescent="0.3">
      <c r="A39" s="40" t="s">
        <v>757</v>
      </c>
      <c r="B39" s="41" t="s">
        <v>758</v>
      </c>
      <c r="C39" s="34"/>
      <c r="D39" s="34"/>
    </row>
    <row r="40" spans="1:4" ht="21.75" customHeight="1" x14ac:dyDescent="0.3">
      <c r="A40" s="101" t="s">
        <v>759</v>
      </c>
      <c r="B40" s="100" t="s">
        <v>760</v>
      </c>
      <c r="C40" s="34"/>
      <c r="D40" s="34"/>
    </row>
    <row r="41" spans="1:4" ht="21.75" customHeight="1" x14ac:dyDescent="0.3">
      <c r="A41" s="101" t="s">
        <v>761</v>
      </c>
      <c r="B41" s="100" t="s">
        <v>762</v>
      </c>
      <c r="C41" s="34"/>
      <c r="D41" s="34"/>
    </row>
    <row r="42" spans="1:4" ht="33" customHeight="1" x14ac:dyDescent="0.3">
      <c r="A42" s="101" t="s">
        <v>763</v>
      </c>
      <c r="B42" s="100" t="s">
        <v>764</v>
      </c>
      <c r="C42" s="34"/>
      <c r="D42" s="34"/>
    </row>
    <row r="43" spans="1:4" ht="14.25" customHeight="1" x14ac:dyDescent="0.3">
      <c r="A43" s="101" t="s">
        <v>765</v>
      </c>
      <c r="B43" s="100" t="s">
        <v>766</v>
      </c>
      <c r="C43" s="34"/>
      <c r="D43" s="34"/>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F6DB2-1357-46B5-8CBA-4E82B125738F}">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 &amp; Method</vt:lpstr>
      <vt:lpstr>Data</vt:lpstr>
      <vt:lpstr>SUMMARY</vt:lpstr>
      <vt:lpstr>Consumer Build</vt:lpstr>
      <vt:lpstr>Inflation Build</vt:lpstr>
      <vt:lpstr>BEA Source Data</vt:lpstr>
      <vt:lpstr>Data Adjustments</vt:lpstr>
      <vt:lpstr>Investment Build</vt:lpstr>
      <vt:lpstr>AI Capex Build</vt:lpstr>
      <vt:lpstr>Government Build</vt:lpstr>
      <vt:lpstr>Net Trade Build</vt:lpstr>
      <vt:lpstr>Interest Rate Build</vt:lpstr>
      <vt:lpstr>Period Alignment</vt:lpstr>
      <vt:lpstr>Benchmarking</vt:lpstr>
      <vt:lpstr>Commodity Refresh</vt:lpstr>
      <vt:lpstr>Limitations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ACCM U.S. Economic and Inflation Model</dc:title>
  <dc:subject/>
  <dc:creator>Andrew Pasten</dc:creator>
  <dc:description>Twelve-month forward forecasts for nominal GDP, inflation, interest rates and unemployment. FRL 6950. Frozen 31 July 2026.</dc:description>
  <cp:lastModifiedBy>Andrew Pasten</cp:lastModifiedBy>
  <cp:revision>0</cp:revision>
  <dcterms:created xsi:type="dcterms:W3CDTF">2026-08-02T22:04:30Z</dcterms:created>
  <dcterms:modified xsi:type="dcterms:W3CDTF">2026-10-06T02:22:00Z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ude.handoff">
    <vt:lpwstr>weHuQuuRWSWl8UyzfwRfYzEXcB7rV1wEoJThXfl0I2o</vt:lpwstr>
  </property>
</Properties>
</file>